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bryan\Downloads\"/>
    </mc:Choice>
  </mc:AlternateContent>
  <xr:revisionPtr revIDLastSave="0" documentId="13_ncr:1_{D0EBDE51-0AA2-46AA-84DB-B821AC69F335}" xr6:coauthVersionLast="47" xr6:coauthVersionMax="47" xr10:uidLastSave="{00000000-0000-0000-0000-000000000000}"/>
  <bookViews>
    <workbookView xWindow="-120" yWindow="-120" windowWidth="29040" windowHeight="15840" xr2:uid="{00000000-000D-0000-FFFF-FFFF00000000}"/>
  </bookViews>
  <sheets>
    <sheet name="Registro" sheetId="4" r:id="rId1"/>
    <sheet name="Resultados" sheetId="1" state="hidden" r:id="rId2"/>
  </sheets>
  <definedNames>
    <definedName name="Agente">Resultados!$E$156:$K$165</definedName>
    <definedName name="Alentador">Resultados!$E$169:$K$178</definedName>
    <definedName name="_xlnm.Print_Area" localSheetId="1">Resultados!$A$1:$J$50,Resultados!$B$52:$K$63</definedName>
    <definedName name="Consejero">Resultados!$E$182:$K$191</definedName>
    <definedName name="Creativo">Resultados!$E$195:$K$204</definedName>
    <definedName name="Especialista">Resultados!$E$208:$K$217</definedName>
    <definedName name="Evaluador">Resultados!$E$221:$K$230</definedName>
    <definedName name="InformePatron">Resultados!$E$54:$K$63</definedName>
    <definedName name="Investigador">Resultados!$E$299:$K$308</definedName>
    <definedName name="Objetivo">Resultados!$E$247:$K$256</definedName>
    <definedName name="Perfeccionista">Resultados!$E$286:$K$295</definedName>
    <definedName name="Persuasivo">Resultados!$E$234:$K$243</definedName>
    <definedName name="Profesional">Resultados!$E$273:$K$282</definedName>
    <definedName name="Promotor">Resultados!$E$312:$K$321</definedName>
    <definedName name="Realizador">Resultados!$E$325:$K$334</definedName>
    <definedName name="Resolutivo">Resultados!$E$338:$K$347</definedName>
    <definedName name="ResultadoPatron">Resultados!$B$53</definedName>
    <definedName name="Resultados">Resultados!$E$260:$K$269</definedName>
    <definedName name="rmasg1">Registro!$C$9:$C$12</definedName>
    <definedName name="rmasg10">Registro!$G$15:$G$18</definedName>
    <definedName name="rmasg11">Registro!$G$21:$G$24</definedName>
    <definedName name="rmasg12">Registro!$G$27:$G$30</definedName>
    <definedName name="rmasg13">Registro!$G$33:$G$36</definedName>
    <definedName name="rmasg14">Registro!$G$39:$G$42</definedName>
    <definedName name="rmasg15">Registro!$G$45:$G$48</definedName>
    <definedName name="rmasg16">Registro!$G$51:$G$54</definedName>
    <definedName name="rmasg17">Registro!$K$9:$K$12</definedName>
    <definedName name="rmasg18">Registro!$K$15:$K$18</definedName>
    <definedName name="rmasg19">Registro!$K$21:$K$24</definedName>
    <definedName name="rmasg2">Registro!$C$15:$C$18</definedName>
    <definedName name="rmasg20">Registro!$K$27:$K$30</definedName>
    <definedName name="rmasg21">Registro!$K$33:$K$36</definedName>
    <definedName name="rmasg22">Registro!$K$39:$K$42</definedName>
    <definedName name="rmasg23">Registro!$K$45:$K$48</definedName>
    <definedName name="rmasg24">Registro!$K$51:$K$54</definedName>
    <definedName name="rmasg3">Registro!$C$21:$C$24</definedName>
    <definedName name="rmasg4">Registro!$C$27:$C$30</definedName>
    <definedName name="rmasg5">Registro!$C$33:$C$36</definedName>
    <definedName name="rmasg6">Registro!$C$39:$C$42</definedName>
    <definedName name="rmasg7">Registro!$C$45:$C$48</definedName>
    <definedName name="rmasg8">Registro!$C$51:$C$54</definedName>
    <definedName name="rmasg9">Registro!$G$9:$G$12</definedName>
    <definedName name="rmenosg1">Registro!$D$9:$D$12</definedName>
    <definedName name="rmenosg10">Registro!$H$15:$H$18</definedName>
    <definedName name="rmenosg11">Registro!$H$21:$H$24</definedName>
    <definedName name="rmenosg12">Registro!$H$27:$H$30</definedName>
    <definedName name="rmenosg13">Registro!$H$33:$H$36</definedName>
    <definedName name="rmenosg14">Registro!$H$39:$H$42</definedName>
    <definedName name="rmenosg15">Registro!$H$45:$H$48</definedName>
    <definedName name="rmenosg16">Registro!$H$51:$H$54</definedName>
    <definedName name="rmenosg17">Registro!$L$9:$L$12</definedName>
    <definedName name="rmenosg18">Registro!$L$15:$L$18</definedName>
    <definedName name="rmenosg19">Registro!$L$21:$L$24</definedName>
    <definedName name="rmenosg2">Registro!$D$15:$D$18</definedName>
    <definedName name="rmenosg20">Registro!$L$27:$L$30</definedName>
    <definedName name="rmenosg21">Registro!$L$33:$L$36</definedName>
    <definedName name="rmenosg22">Registro!$L$39:$L$42</definedName>
    <definedName name="rmenosg23">Registro!$L$45:$L$48</definedName>
    <definedName name="rmenosg24">Registro!$L$51:$L$54</definedName>
    <definedName name="rmenosg3">Registro!$D$21:$D$24</definedName>
    <definedName name="rmenosg4">Registro!$D$27:$D$30</definedName>
    <definedName name="rmenosg5">Registro!$D$33:$D$36</definedName>
    <definedName name="rmenosg6">Registro!$D$39:$D$42</definedName>
    <definedName name="rmenosg7">Registro!$D$45:$D$48</definedName>
    <definedName name="rmenosg8">Registro!$D$51:$D$54</definedName>
    <definedName name="rmenosg9">Registro!$H$9:$H$12</definedName>
  </definedNames>
  <calcPr calcId="191029"/>
</workbook>
</file>

<file path=xl/calcChain.xml><?xml version="1.0" encoding="utf-8"?>
<calcChain xmlns="http://schemas.openxmlformats.org/spreadsheetml/2006/main">
  <c r="B2756" i="1" l="1"/>
  <c r="C70" i="1" l="1"/>
  <c r="B53" i="1" s="1"/>
  <c r="C3" i="1" l="1"/>
  <c r="C2" i="1"/>
  <c r="E97" i="1" l="1"/>
  <c r="E104" i="1"/>
  <c r="M97" i="1"/>
  <c r="I97" i="1"/>
  <c r="E110" i="1"/>
  <c r="E102" i="1"/>
  <c r="M86" i="1"/>
  <c r="M91" i="1" s="1"/>
  <c r="M96" i="1" s="1"/>
  <c r="I86" i="1"/>
  <c r="I91" i="1" s="1"/>
  <c r="I96" i="1" s="1"/>
  <c r="E86" i="1"/>
  <c r="E91" i="1" s="1"/>
  <c r="E96" i="1" s="1"/>
  <c r="E105" i="1" s="1"/>
  <c r="E111" i="1" s="1"/>
  <c r="E85" i="1"/>
  <c r="E90" i="1"/>
  <c r="N93" i="1"/>
  <c r="J93" i="1"/>
  <c r="L77" i="1"/>
  <c r="L76" i="1"/>
  <c r="L75" i="1"/>
  <c r="L74" i="1"/>
  <c r="H77" i="1"/>
  <c r="H76" i="1"/>
  <c r="H75" i="1"/>
  <c r="H74" i="1"/>
  <c r="D77" i="1"/>
  <c r="D76" i="1"/>
  <c r="D75" i="1"/>
  <c r="D74" i="1"/>
  <c r="I92" i="1" l="1"/>
  <c r="E92" i="1"/>
  <c r="M92" i="1"/>
  <c r="D129" i="1"/>
  <c r="G77" i="1" s="1"/>
  <c r="E2755" i="1" s="1"/>
  <c r="C129" i="1"/>
  <c r="C77" i="1" s="1"/>
  <c r="D128" i="1"/>
  <c r="G76" i="1" s="1"/>
  <c r="D2755" i="1" s="1"/>
  <c r="C128" i="1"/>
  <c r="C76" i="1" s="1"/>
  <c r="D127" i="1"/>
  <c r="G75" i="1" s="1"/>
  <c r="C2755" i="1" s="1"/>
  <c r="C127" i="1"/>
  <c r="C75" i="1" s="1"/>
  <c r="D126" i="1"/>
  <c r="G74" i="1" s="1"/>
  <c r="B2755" i="1" s="1"/>
  <c r="C126" i="1"/>
  <c r="C74" i="1" s="1"/>
  <c r="F2753" i="1" l="1"/>
  <c r="J99" i="1"/>
  <c r="J101" i="1"/>
  <c r="F100" i="1"/>
  <c r="F114" i="1"/>
  <c r="F108" i="1"/>
  <c r="J98" i="1"/>
  <c r="J100" i="1"/>
  <c r="F98" i="1"/>
  <c r="F112" i="1"/>
  <c r="F106" i="1"/>
  <c r="F99" i="1"/>
  <c r="F107" i="1"/>
  <c r="F113" i="1"/>
  <c r="F101" i="1"/>
  <c r="F109" i="1"/>
  <c r="F115" i="1"/>
  <c r="F94" i="1"/>
  <c r="F93" i="1"/>
  <c r="J88" i="1"/>
  <c r="J89" i="1"/>
  <c r="F88" i="1"/>
  <c r="F89" i="1"/>
  <c r="G79" i="1"/>
  <c r="J94" i="1" s="1"/>
  <c r="L93" i="1" s="1"/>
  <c r="F79" i="1"/>
  <c r="C79" i="1"/>
  <c r="B79" i="1"/>
  <c r="D130" i="1"/>
  <c r="E126" i="1"/>
  <c r="K74" i="1" s="1"/>
  <c r="C130" i="1"/>
  <c r="E128" i="1"/>
  <c r="K76" i="1" s="1"/>
  <c r="E129" i="1"/>
  <c r="K77" i="1" s="1"/>
  <c r="E127" i="1"/>
  <c r="K75" i="1" s="1"/>
  <c r="H93" i="1" l="1"/>
  <c r="L88" i="1"/>
  <c r="H98" i="1"/>
  <c r="H88" i="1"/>
  <c r="N101" i="1"/>
  <c r="N100" i="1"/>
  <c r="H106" i="1"/>
  <c r="L98" i="1"/>
  <c r="N99" i="1"/>
  <c r="N98" i="1"/>
  <c r="H112" i="1"/>
  <c r="N89" i="1"/>
  <c r="N88" i="1"/>
  <c r="B80" i="1"/>
  <c r="F80" i="1"/>
  <c r="D69" i="1"/>
  <c r="E69" i="1"/>
  <c r="F69" i="1"/>
  <c r="E130" i="1"/>
  <c r="P88" i="1" l="1"/>
  <c r="P98" i="1"/>
  <c r="E103" i="1" s="1"/>
  <c r="C69" i="1"/>
  <c r="H68" i="1" s="1"/>
  <c r="J79" i="1"/>
  <c r="K79" i="1"/>
  <c r="N94" i="1" s="1"/>
  <c r="P93" i="1" s="1"/>
  <c r="I116" i="1" l="1"/>
  <c r="B39" i="1" s="1"/>
  <c r="E116" i="1"/>
  <c r="B31" i="1" s="1"/>
  <c r="J80" i="1"/>
  <c r="M116" i="1" s="1"/>
  <c r="B46" i="1" s="1"/>
</calcChain>
</file>

<file path=xl/sharedStrings.xml><?xml version="1.0" encoding="utf-8"?>
<sst xmlns="http://schemas.openxmlformats.org/spreadsheetml/2006/main" count="3037" uniqueCount="354">
  <si>
    <t>D</t>
  </si>
  <si>
    <t>I</t>
  </si>
  <si>
    <t>S</t>
  </si>
  <si>
    <t>C</t>
  </si>
  <si>
    <t>RESPUESTAS MENOS</t>
  </si>
  <si>
    <t>RESPUESTAS MAS</t>
  </si>
  <si>
    <t>EL COMPUESTO</t>
  </si>
  <si>
    <t>MAS</t>
  </si>
  <si>
    <t>MENOS</t>
  </si>
  <si>
    <t>Tranquilo(a)</t>
  </si>
  <si>
    <t>Sociable</t>
  </si>
  <si>
    <t>Leal</t>
  </si>
  <si>
    <t>Paciente</t>
  </si>
  <si>
    <t>Exigente</t>
  </si>
  <si>
    <t>Perfeccionista</t>
  </si>
  <si>
    <t>Dominante</t>
  </si>
  <si>
    <t>Persistente</t>
  </si>
  <si>
    <t>Expresivo</t>
  </si>
  <si>
    <t>Sumiso</t>
  </si>
  <si>
    <t>Enérgico</t>
  </si>
  <si>
    <t>Controlado</t>
  </si>
  <si>
    <t>Fuerte de carácter</t>
  </si>
  <si>
    <t>Cuidadoso</t>
  </si>
  <si>
    <t>Emocional</t>
  </si>
  <si>
    <t>Satisfecho</t>
  </si>
  <si>
    <t>Correcto</t>
  </si>
  <si>
    <t>Pionero</t>
  </si>
  <si>
    <t>Influyente</t>
  </si>
  <si>
    <t>Preciso</t>
  </si>
  <si>
    <t>Dispuesto</t>
  </si>
  <si>
    <t>Atractivo</t>
  </si>
  <si>
    <t>Meticuloso</t>
  </si>
  <si>
    <t>Decidido</t>
  </si>
  <si>
    <t>Tímido</t>
  </si>
  <si>
    <t>Cautivador</t>
  </si>
  <si>
    <t>Buena compañía</t>
  </si>
  <si>
    <t>Bondadoso</t>
  </si>
  <si>
    <t>Dependiente de sí</t>
  </si>
  <si>
    <t>Agradable</t>
  </si>
  <si>
    <t>Con dominio propio</t>
  </si>
  <si>
    <t>Juguetón</t>
  </si>
  <si>
    <t>Animoso</t>
  </si>
  <si>
    <t>Conversador</t>
  </si>
  <si>
    <t>Bonachón</t>
  </si>
  <si>
    <t>Conservador</t>
  </si>
  <si>
    <t>Contento</t>
  </si>
  <si>
    <t>Impaciente</t>
  </si>
  <si>
    <t>Convincente</t>
  </si>
  <si>
    <t>Resignado</t>
  </si>
  <si>
    <t>Respetuoso</t>
  </si>
  <si>
    <t>Socialmente desenvuelto</t>
  </si>
  <si>
    <t>Agresivo</t>
  </si>
  <si>
    <t>Apacible</t>
  </si>
  <si>
    <t>Convencional</t>
  </si>
  <si>
    <t>Servicial</t>
  </si>
  <si>
    <t>Seguro de sí mismo</t>
  </si>
  <si>
    <t>Cooperativo</t>
  </si>
  <si>
    <t>Disputador</t>
  </si>
  <si>
    <t>Relajado, sin tensiones</t>
  </si>
  <si>
    <t>Inquieto</t>
  </si>
  <si>
    <t>Minucioso</t>
  </si>
  <si>
    <t>Sensato</t>
  </si>
  <si>
    <t>Disciplinado</t>
  </si>
  <si>
    <t>Inspirador</t>
  </si>
  <si>
    <t>Considerado</t>
  </si>
  <si>
    <t>Diplomático</t>
  </si>
  <si>
    <t>Valiente</t>
  </si>
  <si>
    <t>Compasivo</t>
  </si>
  <si>
    <t>Optimista</t>
  </si>
  <si>
    <t>Encantador</t>
  </si>
  <si>
    <t>Positivo</t>
  </si>
  <si>
    <t>Indulgente</t>
  </si>
  <si>
    <t>Riguroso</t>
  </si>
  <si>
    <t>Aventurero</t>
  </si>
  <si>
    <t>Entusiasta</t>
  </si>
  <si>
    <t>Sigue reglas</t>
  </si>
  <si>
    <t>Humilde</t>
  </si>
  <si>
    <t>Oyente atento</t>
  </si>
  <si>
    <t>Entretenido</t>
  </si>
  <si>
    <t>Con fuerza de voluntad</t>
  </si>
  <si>
    <t>Divertido</t>
  </si>
  <si>
    <t>Obediente</t>
  </si>
  <si>
    <t>Discreto</t>
  </si>
  <si>
    <t>Competitivo</t>
  </si>
  <si>
    <t>Cauteloso</t>
  </si>
  <si>
    <t>Amistoso</t>
  </si>
  <si>
    <t>Vigoroso</t>
  </si>
  <si>
    <t>Persuasivo</t>
  </si>
  <si>
    <t>Reservado</t>
  </si>
  <si>
    <t>Franco</t>
  </si>
  <si>
    <t>Estricto</t>
  </si>
  <si>
    <t>Elocuente</t>
  </si>
  <si>
    <t>Cortés</t>
  </si>
  <si>
    <t>Animado</t>
  </si>
  <si>
    <t>Decisivo</t>
  </si>
  <si>
    <t>Asertivo, resuelto</t>
  </si>
  <si>
    <t>Estable</t>
  </si>
  <si>
    <t>Metódico</t>
  </si>
  <si>
    <t>Extrovertido</t>
  </si>
  <si>
    <t>Moderado</t>
  </si>
  <si>
    <t>Toma riesgos</t>
  </si>
  <si>
    <t>Inventario DISC</t>
  </si>
  <si>
    <t>COMPUESTO</t>
  </si>
  <si>
    <t>TOTAL</t>
  </si>
  <si>
    <r>
      <rPr>
        <b/>
        <sz val="11"/>
        <color rgb="FF000000"/>
        <rFont val="Calibri"/>
        <family val="2"/>
      </rPr>
      <t>Lea con cuidado:</t>
    </r>
    <r>
      <rPr>
        <sz val="11"/>
        <color rgb="FF000000"/>
        <rFont val="Calibri"/>
        <family val="2"/>
      </rPr>
      <t xml:space="preserve"> En cada una de las tres columnas hay ocho grupos de cuatro palabras. Escoja dos palabras de cada grupo; una, la que </t>
    </r>
    <r>
      <rPr>
        <b/>
        <u/>
        <sz val="11"/>
        <color rgb="FF000000"/>
        <rFont val="Calibri"/>
        <family val="2"/>
      </rPr>
      <t>MAS</t>
    </r>
    <r>
      <rPr>
        <sz val="11"/>
        <color rgb="FF000000"/>
        <rFont val="Calibri"/>
        <family val="2"/>
      </rPr>
      <t xml:space="preserve"> se asemeje a usted en el ambiente de trabajo; y la otra, la que </t>
    </r>
    <r>
      <rPr>
        <b/>
        <u/>
        <sz val="11"/>
        <color rgb="FF000000"/>
        <rFont val="Calibri"/>
        <family val="2"/>
      </rPr>
      <t>MENOS</t>
    </r>
    <r>
      <rPr>
        <sz val="11"/>
        <color rgb="FF000000"/>
        <rFont val="Calibri"/>
        <family val="2"/>
      </rPr>
      <t xml:space="preserve"> lo represente en el ambiente de trabajo. </t>
    </r>
    <r>
      <rPr>
        <b/>
        <sz val="11"/>
        <color rgb="FFFF0000"/>
        <rFont val="Calibri"/>
        <family val="2"/>
      </rPr>
      <t>Indique sus respuestas dando doble click en la casilla que represente su elección.</t>
    </r>
  </si>
  <si>
    <t>DI</t>
  </si>
  <si>
    <t>DS</t>
  </si>
  <si>
    <t>DC</t>
  </si>
  <si>
    <t>ID</t>
  </si>
  <si>
    <t>IS</t>
  </si>
  <si>
    <t>IC</t>
  </si>
  <si>
    <t>SD</t>
  </si>
  <si>
    <t>SI</t>
  </si>
  <si>
    <t>SC</t>
  </si>
  <si>
    <t>CD</t>
  </si>
  <si>
    <t>CI</t>
  </si>
  <si>
    <t>CS</t>
  </si>
  <si>
    <t>I= S/D=C</t>
  </si>
  <si>
    <t>INTERPRETACION DE LOS GRÁFICOS</t>
  </si>
  <si>
    <t>Esta persona muestra tendencia a ser resistente a los cambios, lo que puede reducir su  independencia.</t>
  </si>
  <si>
    <t>ALTA Dominancia y ALTA Conciencia iguales encima de la línea media, BAJA Influencia y Baja Solidez iguales por debajo de la línea media</t>
  </si>
  <si>
    <t>ALTA Influencia, ALTA Solidez iguales sobre la línea media y BAJA Dominancia y BAJA Conciencia iguales por debajo de la línea media</t>
  </si>
  <si>
    <t>Números de Segmentos</t>
  </si>
  <si>
    <t>Patrón Clasico</t>
  </si>
  <si>
    <t>Cuando se esfuerza en proyectar una imagen favorable hacia los demás en su intento por conseguir sus objetivos:</t>
  </si>
  <si>
    <t>Cuando trabaja en condiciones de presión:</t>
  </si>
  <si>
    <t>Esta persona actúa positivamente y de forma directa frente a la oposición; demuestra fortaleza, toma una posición y lucha por ella. Le gusta aprovechar las oportunidades y puede incluso sobrepasar prerrogativas.</t>
  </si>
  <si>
    <t>Esta persona tiende a comportarse de manera muy cordial, se muestra social en situaciones vistas como favorables o no amenazadoras; tiende a ser carismático y conseguir simpatía desde el primer contacto con las personas.</t>
  </si>
  <si>
    <t>Esta persona muestra tendencia a ganarse las  personas con entusiasmo y vivacidad, demuestra un optimismo contagiante y trata de conquistar las personas a través de persuasión y emociones.</t>
  </si>
  <si>
    <t>Esta persona muestra auto-confianza en la mayoría de sus relaciones con los demás; a pesar de estar siempre tratando de buscar un acuerdo, es bastante renuente para cambiar su propio punto de vista. Esta persona piensa que no importa cuál sea la situación en sí, pues siempre será capaz de actuar para obtener éxito.</t>
  </si>
  <si>
    <t>Esta persona muestra tendencia a ser firme y consistente y prefiere lidiar con una cosa a la vez; preferiblemente direccionará sus habilidades y experiencias para áreas en las cuales se requiere profundidad y especialización; es firme bajo presión, lucha por estabilizar el ambiente y reacciona negativamente a los cambios.</t>
  </si>
  <si>
    <t>Esta persona muestra tendencia  a ser paciente, controlada y se mueve con moderación en la mayoría de los casos; inclusive bajo presión mostrará una imagen despreocupada. Generalmente aborda situaciones con cuidado y concentración.</t>
  </si>
  <si>
    <t>Esta persona muestra tendencia a ser persistente, perseverante y no es fácilmente influenciable una vez que se ha formado una opinión; establecerá su propio ritmo de trabajo, puede tornarse excesivamente independiente cuando está sometida a presión. Esa actitud puede incomodar a los demás que buscan mayor flexibilidad.</t>
  </si>
  <si>
    <r>
      <t xml:space="preserve">Esta persona tiende  a actuar de manera cuidadosa y conservadora y está generalmente dispuesta a cambiar  de posición para conseguir sus objetivos; su estilo es </t>
    </r>
    <r>
      <rPr>
        <u/>
        <sz val="10"/>
        <rFont val="Tahoma"/>
        <family val="2"/>
      </rPr>
      <t>Seguidor de Normas</t>
    </r>
    <r>
      <rPr>
        <sz val="10"/>
        <rFont val="Tahoma"/>
        <family val="2"/>
      </rPr>
      <t>, se trata de personas muchas veces técnicas que pueden parecer arbitrarias por seguir las reglas y procedimientos pre-determinados.</t>
    </r>
  </si>
  <si>
    <t>Esta persona muestra tendencia a ser un seguidor de sistemas y orden, toma decisiones basadas en hechos y situaciones anteriormente conocidas; en todas las actividades trata de manera meticulosa de conseguir patrones que fueron establecidos por ella  misma o por los otros.</t>
  </si>
  <si>
    <t>Esta persona se preocupa más en evitar riesgos o problemas, puede evidenciar tensión particularmente cuando se le presiona para conseguir resultados; tiene necesidad de que se le confirme la corrección de sus acciones y decisiones.</t>
  </si>
  <si>
    <t>Cuando se encuentra en un ambiente tranquilo donde puede ser natural, o en una situación sumamente tensa donde le resulta difícil fingir:</t>
  </si>
  <si>
    <t>PEG1</t>
  </si>
  <si>
    <t>PEG2</t>
  </si>
  <si>
    <t>PEG3</t>
  </si>
  <si>
    <t>PEP</t>
  </si>
  <si>
    <t>POSG1</t>
  </si>
  <si>
    <t>PUSG1</t>
  </si>
  <si>
    <t>Alentador</t>
  </si>
  <si>
    <t>MAX</t>
  </si>
  <si>
    <t>MIN</t>
  </si>
  <si>
    <t>LIMITES LINEA MEDIA</t>
  </si>
  <si>
    <t>AND 1 DC</t>
  </si>
  <si>
    <t>AND 1 IS</t>
  </si>
  <si>
    <t>D=C/I=S</t>
  </si>
  <si>
    <t>PEG 1,2,3</t>
  </si>
  <si>
    <t>NOTA</t>
  </si>
  <si>
    <t xml:space="preserve">La ruta para la verificación es: </t>
  </si>
  <si>
    <t>PEG</t>
  </si>
  <si>
    <t>POSG2</t>
  </si>
  <si>
    <t>R+</t>
  </si>
  <si>
    <t>R-</t>
  </si>
  <si>
    <t>NOMBRE</t>
  </si>
  <si>
    <t>FECHA</t>
  </si>
  <si>
    <t>Nombre:</t>
  </si>
  <si>
    <t>Fecha:</t>
  </si>
  <si>
    <t>Emociones:</t>
  </si>
  <si>
    <t>Meta:</t>
  </si>
  <si>
    <t>Juzga a los otros según:</t>
  </si>
  <si>
    <t>Influye a otras personas mediante:</t>
  </si>
  <si>
    <t>Su valor para la organización:</t>
  </si>
  <si>
    <t>Abusa de:</t>
  </si>
  <si>
    <t>Bajo presión:</t>
  </si>
  <si>
    <t>Teme:</t>
  </si>
  <si>
    <t>Sería más efectivo al:</t>
  </si>
  <si>
    <t>Descripción general:</t>
  </si>
  <si>
    <t>Orientado a Resultados</t>
  </si>
  <si>
    <t>verbaliza lo que quiere de manera resuelta; muestra un individualismo inquebrantable</t>
  </si>
  <si>
    <t>dominio e independencia</t>
  </si>
  <si>
    <t>su habilidad para efectuar tareas rápidamente</t>
  </si>
  <si>
    <t>fuerza de carácter, su persistencia</t>
  </si>
  <si>
    <t>persistencia, tenacidad</t>
  </si>
  <si>
    <t>su impaciencia, sentido competitivo concebido en términos de "si una parte gana, la otra tiene que perder"</t>
  </si>
  <si>
    <t>se torna crítico, centrado en encontrar fallas; se resiste a trabajar en equipo, puede excederse en sus prerrogativas</t>
  </si>
  <si>
    <t>teme que otros se aprovechen de él; la lentitud, particularmente en actividades del trabajo; que se le considere incauto o bonachón</t>
  </si>
  <si>
    <t>considerar los puntos de vista y las ideas de otros sobre metas y soluciones a problemas; desarrollar un interés genuino por los demás; volverse más paciente y humilde</t>
  </si>
  <si>
    <t>Las personas orientadas a resultados muestran una autoconfianza que algunos pueden interpretar como arrogancia. Buscan activamente oportunidades que pongan a prueba y desarrollen sus habilidades para lograr resultados. A estas personas les agradan las tareas difíciles, las situaciones competitivas, las asignaciones únicas y los cargos "importantes". Asumen responsabilidad con aire presumido y muestran satisfacción en sí mismos cuando terminan. Tienden a evitar factores que los restrinjan tales como controles directos, detalles que requieren mucho tiempo y trabajos rutinarios. Puesto que son enérgicos y directos, pueden tener problemas con otros. La independencia es muy preciada para estas personas, por lo que se pueden impacientar al verse involucrados en actividades de grupos o en comités. Aunque por lo general prefieren trabajar solos, pueden persuadir a otros para que brinden apoyo a sus esfuerzos, especialmente cuando deben efectuar actividades de rutina.</t>
  </si>
  <si>
    <t>Agente</t>
  </si>
  <si>
    <t>Consejero</t>
  </si>
  <si>
    <t>Creativo</t>
  </si>
  <si>
    <t>Especialista</t>
  </si>
  <si>
    <t>Evaluador</t>
  </si>
  <si>
    <t>Objetivo</t>
  </si>
  <si>
    <t>Profesional</t>
  </si>
  <si>
    <t>Investigador</t>
  </si>
  <si>
    <t>Promotor</t>
  </si>
  <si>
    <t>Realizador</t>
  </si>
  <si>
    <t>Resolutivo</t>
  </si>
  <si>
    <t>ser aceptado por el grupo</t>
  </si>
  <si>
    <t>compromiso por tolerar e incluir a otros</t>
  </si>
  <si>
    <t>apoya, pone en armonía, establece lazos de empatía, se centra en dar servicio</t>
  </si>
  <si>
    <t>su amabilidad</t>
  </si>
  <si>
    <t>adquirir una noción mas fuerte de quién es y de lo que es capaz de hacer; tener mas firmeza y capacidad para imponer sus argumentos; desarrollar una habilidad para decir "no" cuando resulte apropiado</t>
  </si>
  <si>
    <t>acepta la agresión; aparenta no tener muchas necesidades de afecto</t>
  </si>
  <si>
    <t>control de su ambiente o de sus oyentes</t>
  </si>
  <si>
    <t>la forma como proyectan su fuerza personal, su carácter y su poder social</t>
  </si>
  <si>
    <t>su encanto, orientación, intimidación, uso de recompensas</t>
  </si>
  <si>
    <t>actúa como un agente que "mueve a la gente" inicia, exige, felicita, llama al orden y sanciona</t>
  </si>
  <si>
    <t xml:space="preserve">actitud de "el fin justifica los medios" </t>
  </si>
  <si>
    <t>se torna manipulador, pendenciero o beligerante</t>
  </si>
  <si>
    <t>ser demasiado blando, perder estatus social</t>
  </si>
  <si>
    <t>desarrollar mas sensibilidad genuina; estar mas dispuesto a ayudar a los demás a tener éxito en su propio desarrollo personal</t>
  </si>
  <si>
    <t xml:space="preserve"> </t>
  </si>
  <si>
    <t>fácil de abordar, afectuoso y comprensivo</t>
  </si>
  <si>
    <t>amistad, felicidad</t>
  </si>
  <si>
    <t xml:space="preserve">su aceptación de otras personas; su habilidad para buscar el lado bueno de la gente </t>
  </si>
  <si>
    <t>relaciones personales, política de "puertas abiertas"</t>
  </si>
  <si>
    <t>estable y predecible; amplia esfera de amistades; dispocisión para escuchar los sentimientos de los demás</t>
  </si>
  <si>
    <t>métodos indirectos de abordar asuntos; tolerancia</t>
  </si>
  <si>
    <t>presionar a las personas; ser acusado de hacer daño</t>
  </si>
  <si>
    <t>prestar mas atención a fechas de entrega realistas; tener mas iniciativa para terminar tareas</t>
  </si>
  <si>
    <t>acepta la agresión; se contiene al expresarse</t>
  </si>
  <si>
    <t>dominio, logros únicos</t>
  </si>
  <si>
    <t>sus estándares personales; sus ideas progresistas para realizar tareas</t>
  </si>
  <si>
    <t>su habilidad para establecer un ritmo a seguir el desarrollo de sistemas y enfoques innovadores</t>
  </si>
  <si>
    <t>inicia o diseña cambios</t>
  </si>
  <si>
    <t>franqueza brusca; actitud crítica o condescendiente</t>
  </si>
  <si>
    <t>se aburre con trabajos rutinarios; se enfurruña cuando se le restringe; actúa independientemente</t>
  </si>
  <si>
    <t>no poder influir; no poder alcanzar sus estándares</t>
  </si>
  <si>
    <t>ser mas cálido; tener más tacto al comunicarse; colaborar mas efectivamente con su equipo; aceptar las reglas existentes</t>
  </si>
  <si>
    <t>moderación calculada, afán de servir, hacer sentir a los demás cómodos y adaptarse a ellos</t>
  </si>
  <si>
    <t>conservar el orden establecido; tener un ambiente controlado</t>
  </si>
  <si>
    <t>estándares de amistad; su capacidad</t>
  </si>
  <si>
    <t>su desempeño consistente; su afán de servir, hacer sentir a los demás cómodos y adaptarse a ellos</t>
  </si>
  <si>
    <t>planea a corto plazo; es predecible, consistente; mantiene un ritmo constante</t>
  </si>
  <si>
    <t>su modestia; su renuencia a tomar riesgos; su resistencia pasiva ante la innovación</t>
  </si>
  <si>
    <t>se torna adaptable a quienes tienen la autoridad y piensa con el grupo</t>
  </si>
  <si>
    <t>los cambios, la desorganización</t>
  </si>
  <si>
    <t>argumentar sus ideas públicamente, aumentar su autoconfianza basándose en la retroalimentación que recibe; empleara métodos mas sencillos y rápidos</t>
  </si>
  <si>
    <t>un fuerte impulso por causar una buena impresión</t>
  </si>
  <si>
    <t>"ganar" con estilo</t>
  </si>
  <si>
    <t>su habilidad para iniciar actividades</t>
  </si>
  <si>
    <t>hacerles competir para lograr su reconocimiento</t>
  </si>
  <si>
    <t>logra metas con el equipo</t>
  </si>
  <si>
    <t>autoridad, ingenio</t>
  </si>
  <si>
    <t>se torna intranquilo, crítico, impaciente</t>
  </si>
  <si>
    <t xml:space="preserve">"perder" o el "fracaso"; la desaprobación de los demás </t>
  </si>
  <si>
    <t>incrementar la capacidad de terminar las tareas que inicia; mostrar mas empatía cuando manifiesta su desaprobación; adquirir un ritmo más constante</t>
  </si>
  <si>
    <t>confía en los demás ; es entusiasta</t>
  </si>
  <si>
    <t>autoridad y prestigio; símbolos de estatus</t>
  </si>
  <si>
    <t>su habilidad para expresarse verbalmente; su flexibilidad</t>
  </si>
  <si>
    <t>su comportamiento amistoso, abierto; su habilidad de expresión verbal</t>
  </si>
  <si>
    <t>vende y cierra tratos; delega responsabilidades; es confiado y se desenvuelve bien</t>
  </si>
  <si>
    <t>su entusiasmo; su habilidad para vender; su optimismo</t>
  </si>
  <si>
    <t>se torna indeciso y es fácil de convencer; se vuelve organizado para generar una buena impresión</t>
  </si>
  <si>
    <t>ambiente incambiable; relaciones complejas</t>
  </si>
  <si>
    <t>la exactitud</t>
  </si>
  <si>
    <t>su habilidad para pensar con lógica</t>
  </si>
  <si>
    <t>su uso de datos, hechos y argumentos lógicos</t>
  </si>
  <si>
    <t>define y esclarece; obtiene, evalúa y comprueba información</t>
  </si>
  <si>
    <t>análisis</t>
  </si>
  <si>
    <t>actos irracionales; el rídiculo</t>
  </si>
  <si>
    <t>quiere mantenerse a la altura de los demas en cuanto a su esfuerzo y su desempeño técnico</t>
  </si>
  <si>
    <t>desarrollo personal</t>
  </si>
  <si>
    <t>su confianza en su capacidad para dominar habilidades nuevas</t>
  </si>
  <si>
    <t>es hábil para resolver problemas técnicos y humanos, demuestra carácter competente y especializado</t>
  </si>
  <si>
    <t>una atención excesiva a sus objetivos personales; expectativas poco realistas de los demas</t>
  </si>
  <si>
    <t>se vuelve moderado, es sensible a la crítica</t>
  </si>
  <si>
    <t>ser predecible, no ser reconocido como un experto</t>
  </si>
  <si>
    <t>demuestra ser competente; es moderado y cauteloso</t>
  </si>
  <si>
    <t>estabilidad; logros predecibles</t>
  </si>
  <si>
    <t>sus propios estándares precisos</t>
  </si>
  <si>
    <t>su atención al detalle; su precisión</t>
  </si>
  <si>
    <t>es concienzudo; mantiene los estándares; controla la calidad</t>
  </si>
  <si>
    <t>procedimientos y controles "a toda prueba" para evitar fallas; dependencia excesiva en personas, productos y procesos que le han funcionado bien en el pasado</t>
  </si>
  <si>
    <t>se torna diplomático, de mucho tacto</t>
  </si>
  <si>
    <t>los antagonismos</t>
  </si>
  <si>
    <t>ser mas flexible en su rol; ser más independiente e interdependiente; tener más fe en su valía personal</t>
  </si>
  <si>
    <t>es desapasionado; muestra autodisciplina</t>
  </si>
  <si>
    <t>su uso de información objetiva</t>
  </si>
  <si>
    <t>su determinación, su tenacidad</t>
  </si>
  <si>
    <t>supervisa exhaustivamente para que los trabajos sean completados; trabaja con determinación, ya sea individualmente o en un grupo pequeño</t>
  </si>
  <si>
    <t>su franqueza brusca; suspicacia de los demás</t>
  </si>
  <si>
    <t>tiende a interiorizar los conflictos; guarda rencores</t>
  </si>
  <si>
    <t>involucrarse con las masas; ser el responsible de vender ideas abstractas</t>
  </si>
  <si>
    <t>ser más flexible; aceptar más a los demás; involucrarse más con los demás en el ámbito personal</t>
  </si>
  <si>
    <t>el poder mediante cargos de autoridad y roles formales</t>
  </si>
  <si>
    <t>dispuesto a aceptar a los demás</t>
  </si>
  <si>
    <t>obtener aprobación; popularidad</t>
  </si>
  <si>
    <t>sus habilidades verbales</t>
  </si>
  <si>
    <t>elogios, oportunidades, favores</t>
  </si>
  <si>
    <t>alivia tensiones; promueve proyectos y personas, incluso a sí mismo</t>
  </si>
  <si>
    <t>los elogios, el optimismo</t>
  </si>
  <si>
    <t>se vuelve descuidado y sentimental ; es desorganizado</t>
  </si>
  <si>
    <t>perder la aceptación social y su valía personal</t>
  </si>
  <si>
    <t>tener más control del tiempo; lograr mayor objetividad; tener una mayor noción de lo que es urgente; lograr un mayor control sobre sus emociones; cumplir sus promesas y trabajo</t>
  </si>
  <si>
    <t>es trabajador y diligente; manifiesta frustración</t>
  </si>
  <si>
    <t>logros personales, a veces a expensas de la meta del grupo</t>
  </si>
  <si>
    <t>su habilidad para lograr resultados concretos</t>
  </si>
  <si>
    <t>su responsabilidad con su propio trabajo</t>
  </si>
  <si>
    <t>determina y logra resultados en áreas claves para si mismo</t>
  </si>
  <si>
    <t>depender demasiado en sí mismo; ensimismamiento en la tarea</t>
  </si>
  <si>
    <t>se frustra e impaciente; se convierte más en una persona que lo hace todo en vez de delegar</t>
  </si>
  <si>
    <t>a otros con estándares de trabajo inferiores a los suyos o que compiten contra los suyos y que por esto afecten los resultados</t>
  </si>
  <si>
    <t>centrado en satisfacer sus necesidades personales</t>
  </si>
  <si>
    <t>nuevas oportunidades</t>
  </si>
  <si>
    <t>su habilidad para cumplir con los estándares del Resolutivo</t>
  </si>
  <si>
    <t>su búsqueda de soluciones a problemas; su capacidad para proyectar una imagen de poder</t>
  </si>
  <si>
    <t>evita ceder o no asumir responsabilidades; busca métodos nuevos o innovadores para resolver problemas</t>
  </si>
  <si>
    <t>control sobre la gente y las situaciones para lograr sus propios resultados</t>
  </si>
  <si>
    <t>trabaja por sí solo para completar tareas, se torna beligerante cuando ve su individualismo amenazado o cuando pierde oportunidades desafiantes</t>
  </si>
  <si>
    <t>el aburrimiento; la pérdida de control</t>
  </si>
  <si>
    <t>tener más paciencia y empatía, participar y colaborar más con los demás, esforzarse más por efectuar un seguimiento para asegurarse de terminar los objetivos</t>
  </si>
  <si>
    <t>se vuelve aprensivo</t>
  </si>
  <si>
    <t>rechaza la agresión interpersonal</t>
  </si>
  <si>
    <t>empatía, amistad</t>
  </si>
  <si>
    <t>las disensiones, los conflictos</t>
  </si>
  <si>
    <t>Los agentes ponen gran atención tanto a las relaciones humanas como a los aspectos de las tareas de su trabajo. Al ser personas que brindan apoyo y establecen lazos de empatía, son buenos para escuchar a los demás. Los agentes logran que los demás sientan que se les quiere y se les necesita. Como responden a las necesidades de los demás, las personas no temen ser rechazadas por un Agente. Ellos ofrecen su amistad y estan dispuestos a ayudar a los demás. Los agentes tienen un excelente potencial para organizar y completar tareas efectivamente. Por naturaleza promueven la armonía y el trabajo en equipo. Son particularmente buenos haciendo para los demás lo que a los otros se les dificulta hacer por sí solos. Su tendencia a brindar apoyo puede inducir a los demás a tolerar una situación en lugar de incitarlos a buscar activamente soluciones a los problemas. Además la tendencia del agente a adoptar un "perfil bajo" en lugar de tener confrontaciones abiertas con aquellos individuos agresivos, pueden ser considerados por otros como una falta de fortaleza.</t>
  </si>
  <si>
    <t>se torna demasiado flexible e íntimo; confía en todos sin distinción</t>
  </si>
  <si>
    <t xml:space="preserve">Los Consejeros son particularmente efectivos para resolver los problemas de las personas. Generan la admiración de los demás por su calidez, empatía y comprensión; les resulta fácil advertir el lado bueno de los demás, prefieren establecer relaciones duraderas para tratar con la gente. Al ser buenos para escuchar y mostrarse dispuestos a comprender los problemas de los demás ofrecen sugerencias con suavidad y se abstienen de imponer sus ideas. Los consejeros suelen ser demasiado tolerantes y pacientes con quienes no tienen niveles de rendimiento satisfactorio. Cuando están bajo presión, pueden presentar dificultades para confrontar problemas de desempeño. Posiblemente sean indirectos al dar órdenes, exigir, o llamar a los demás al orden. Al adoptar la actitud de “las personas son importantes”, pueden darle menor énfasis al cumplimiento de tareas. A veces necesitan ayuda para establecer y cumplir fechas límites realistas. Con frecuencia los Consejeros toman la crítica como una afrenta personal, pero responden bien ante la atención y los elogios que reciben por los trabajos terminados. Los Consejeros tienden a prestar mucha atención a la calidad de las condiciones de trabajo y otorgan el reconocimiento adecuado a los miembros de su grupo. </t>
  </si>
  <si>
    <t>Las personas con el patrón Alentador intentan conscientemente modificar los pensamientos y acciones de los demás. Son astutos identificando y manipulando los motivos que cada individuo tiene, para así orientar el comportamiento de dicha persona hacia un fin predeterminado. Los alentadores son claros sobre los resultados que desean pero a veces no los revelan de inmediato. Presentan los resultados que desean sólo despues de haber preparado y predispuesto a la otra persona, otorgando autoridada quienes buscan poder, ofreciendo su amistad a quienes desean ser aceptados y seguridad a los que desean un ambiente predecible. Los Alentadores pueden ser encantadores con sus interacciones. Son persuasivos para conseguir ayuda cuando deben terminar detalles repetitivos y que requieren mucho tiempo.</t>
  </si>
  <si>
    <t>Las personas con un patrón creativo muestran fuerzas opuestas en su comportamiento. Su deseo por obtener cambios tangibles se contrapone a un empuje igualmente poderoso por lograr la perfección. Su sensibilidad atenúa su agresividad. Aunque piensen y reaccionen rápidamente, se contienen por su deseo de explorar todas las soluciones posibles antes de tomar una decisión. Las personas Creativas muestran una gran capacidad de previsión cuando se centran en proyectos y generan cambios. Como son perfeccionistas y tienen una habilidad considerable para planear los cambios que efectúan suelen ser apropiados aunque les puede faltar atención a las relaciones interpersonales. Las personas Creativas quieren libertad para explorar y tener la autoridad para examinar y verificar sus conclusiones. Pueden tomar decisiones diarias rápidamente pero pueden ser extremadamente cautelosos al tomar decisiones más importantes.</t>
  </si>
  <si>
    <t>acepta el afecto; rechaza la agresión</t>
  </si>
  <si>
    <t>se vuelve persuasivo, emplea información o amistades claves de ser necesario</t>
  </si>
  <si>
    <t>Los Especialistas se “llevan bien” con los demás. Por su actitud moderada y controlada y su comportamiento modesto, pueden trabajar bien con personas que tienen diferentes estilos de comportamiento. Los Especialistas son considerados, pacientes y siempre están dispuestos a ayudar a quienes consideran sus amigos. Establecen relaciones estrechas con un grupo relativamente pequeño de compañeros en su entorno laboral. Se esfuerzan por conservar los patrones familiares y predecibles. Son más efectivos cuando trabajan en áreas especializadas. Por lo tanto, planean su trabajo según canales establecidos y logran un desempeño notoriamente consistente. El aprecio que recibe de los demás les ayuda a mantener ese nivel de consistencia. Los Especialistas son lentos para adaptarse a los cambios. Una preparación previa les da el tiempo que requieren para cambiar sus procedimientos y conservar a la vez su nivel de rendimiento consistente. Los Especialistas también pueden requerir ayuda en el momento de dar inicio a proyectos nuevos y poder desarrollar métodos más sencillos y rápidos que ayuden a cumplir con las fechas de entrega.</t>
  </si>
  <si>
    <t>Los Evaluadores toman ideas creativas y las aplican a fines prácticos. Emplean métodos directos para lograr resultados. Los Evaluadores son competitivos, pero las personas tienden a considerarlos enérgicos mas que agresivos. En lugar de impartir órdenes, involucran a las personas en el trabajo mediante la persuasión. Obtienen la colaboración de quienes les rodean al explicarles la lógica de las actividades propuestas. Los Evaluadores ayudan a los demás a visualizar los pasos necesarios para lograr los resultados. Usualmente, los Evaluadores hablan basándose en un plan de acción detallado que ellos mismos han diseñado para asegurarse de lograr una progresión ordenada hacia el logro de resultados. En su avidez por ganar, los Evaluadores pueden impacientarse cuando no se mantienen sus estándares o cuando se requiere demasiada supervisión para ver que las tareas sean terminadas. Los Evaluadores son buenos pensadores analíticos. Son hábiles para expresar sus críticas verbalmente y en ocasiones pueden emplear palabras hirientes. Tienen mejor control de la situación si se relajan y controlan su ritmo de trabajo.</t>
  </si>
  <si>
    <t>tener más tareas que impliquen un desafío; prestar más atención a un servicio centrado en oficios y detalles claves; efectuar más analisis objetivo de datos</t>
  </si>
  <si>
    <t>Los Persuasivos trabajan con la gente, esforzándose por ser amistosos mientras pugnan por alcanzar sus propios objetivos. Al ser extrovertidos e interesarse por las personas los Persuasivos tienen la habilidad de ganarse el respeto y la confianza de diversos tipos de personas. Los persuasivos tienen la capacidad de convencer a los demás de sus puntos de vista y retenerlos en calidad de clientes o amigos. Esta habilidad les resulta particularmente útil para obtener cargos de autoridad al venderse a sí mismos y sus ideas. El ambiente mas favorable para Los Persuasivos es aquel que incluya trabajar con personas, recibir tareas que constituyen un reto y tener una variedad de actividades laborales que requieran movilidad. Buscan tareas que les brinden la oportunidad de quedar bien. Como resultado de su actitud positiva, Los Persuasivos pueden ser demasiado optimistas sobre los resultados de un proyecto y el potencial de los demás. Los Persuasivos también tienden a sobreestimar su capacidad para cambiar el comportamiento de las personas. Aunque Los Persuasivos desean sentirse libres de reglamentaciones y rutinas, necesitan recibir información analítica sistemáticamente.</t>
  </si>
  <si>
    <t>revelar más sobre sí mismo a los demas; comentar mas sus conocimientos y opiniones con la gente</t>
  </si>
  <si>
    <t>Los Objetivos suelen tener habilidades de pensamiento analítico muy desarrolladas. Recalcan la importancia que tienen los datos al sacar conclusiones y planear acciones. Buscan la precisión y estar correctos en todo lo que hacen. Para manejar sus actividades laborales efectivamente, con frecuencia Los Objetivos combinan la información intuitiva con los datos que han reunido. Cuando tiene dudas sobre un curso de acción, evitan el fracaso público mediante una preparación meticulosa. Por ejemplo, Los Objetivos dominarán una nueva habilidad en privado antes de emplearla en una actividad de grupo. Los Objetivos prefieren trabajar con personas que, al igual que ellos  están interesados en mantener un ambiente de trabajo apacible. Puesto que pueden mostrarse renuentes a expresar sus sentimientos, algunas personas los pueden considerar tímidos. Se sienten particularmente incómodos con personas agresivas. Aunque tienen modales suaves, Los Objetivos tienen una fuerte necesidad de controlar su ambiente. Tienden a ejercer este control indirectamente, requiriéndole a los demás que se adhieran a las reglas y estándares. Los Objetivos se centran en obtener la respuesta “correcta” y pueden tener problemas decidiendo en situaciones ambiguas. Por su tendencia a preocuparse pueden estancarse en un “parálisis de análisis”. Cuando cometen un error, con frecuencia se muestran renuentes reconocer el hecho.</t>
  </si>
  <si>
    <t>autodisciplina; sus cargos y ascensos</t>
  </si>
  <si>
    <t>colaborar en forma mas genuina para beneficio general; delegar mas tareas clave a individuos apropiados</t>
  </si>
  <si>
    <t>Los Profesionales valoran la capacidad de ser competentes en áreas especializadas. Incitados por su deseo de ser “buenos en algo”, controlan cuidadosamente su propio desempeño en el trabajo. Aunque su objetivo es convertirse en “el” experto en un área, con frecuencia Los Profesionales dan la impresión de saber un poco de todo. Esta impresión es más marcada cuando ponen en palabras los conocimientos que poseen sobre diversos temas. Al interactuar con otros Los Profesionales proyectan un estilo relajado, diplomático y sin complicaciones. Esta actitud agradable puede cambiar rápidamente en su propia área de trabajo cuando se centra intensamente en la autodisciplina, Los Profesionales evalúan a los demás con base en sus habilidades para centrarse en sus desempeños diarios. Tienen expectativas altas de sí mismos y de los demás y tienden a verbalizar su desilusión. Aunque por naturaleza se centran en desarrollar un enfoque organizado sobre el trabajo e incrementar sus propias habilidades, los profesionales deben ayudarles a otras personas a desarrollar sus habilidades.</t>
  </si>
  <si>
    <t>Los Perfeccionistas trabajan y piensan de manera sistemática y precisa. Siguen procedimientos en su vida personal y laboral. Al ser extremadamente concienzudos, son diligentes en trabajos que requieren atención al detalle y precisión. Puesto que desean condiciones estables y actividades predecibles, cuando más cómodos se sienten es al estar un ambiente de trabajo claramente definido. Desean información específica respecto a las expectativas sobre su trabajo, los requisitos de tiempo y los procedimientos de evaluación que se van a emplear. Los perfeccionistas pueden empantanarse con detalles en un proceso de toma de decisiones. Son capaces de tomar decisiones importantes, pero pueden ser criticados por la cantidad de tiempo que se toman reuniendo informacion y analizándola. Aunque les gusta escuchar las opiniones de sus superiores, los Perfeccionistas toman riesgos cuando tienen datos que puedan interpretar y emplear para sacar conclusiones. Los perfeccionistas se evalúan a sí mismos y a los demás según el seguimiento de procedimientos operativos habituales y la capacidad para mantener estándares precisos que producen resultados concretos. Esta atencion concienzuda a los estándares y la calidad es valiosa para una organización.</t>
  </si>
  <si>
    <t xml:space="preserve">Al ser objetivos y analíticos, los Investigadores sirven de "anclas a la realidad". Estas personas usualmente poco expresivas buscan con calma y constancia un camino independiente hacia una meta establecida. Tienen éxito en muchas cosas debido a su determinación encarnizada por terminar lo que comienzan, pero no necesariamente por ser versátiles. Buscan un claro propósito o meta sobre el que puedan desarrollar un plan ordenado y organizar sus acciones. Una vez embarcado en un proyecto, los Investigadores luchan con tenacidad para lograr sus objetivos. A veces requieren una intervención fuerte para que cambien de parecer. Como resultado, otras personas pueden considerarlos tercos y dogmáticos. Los Investigadores se desempeñan bien en tareas técnicas que constituyan un reto y en las que puedan emplear datos existentes para interpretar la información y sacar conlcusiones. Responden a la lógica y no a la emoción. Cuando venden o comercializan una idea, tienen mucho más éxito su promocionan un producto concreto. Los Investigadores no están particularmente interesados en complacer a la gente y prefieren trabajar solos. La gente los puede considerarlos fríos, bruscos y sin tacto. Puesto que valoran sus propias habilidades de pensamiento, los Investigadores evalúan a los demás según la manera como usan los datos y lógica. Para incrementar la efectividad de sus interacciones personales, necesitan desarrollar una mayor comprensión de los demás, especialmente de sus emociones. </t>
  </si>
  <si>
    <t>Los Promotores tienen una extensa red de contactos. Usualmente son gregarios y socialmente hábiles. Establecen amistades con facilidad. Rara vez suscitan el antagonismo de otros intencionalmente. Los Promotores buscan ambientes socialmente favorables donde puedan hacer y mantener sus contactos. Al  tener mucha habilidad para expresarse verbalmente, promueven sus propias ideas y generan entusiasmo para proyectos de otros. Debido a su amplia esfera de contactos, los Promotores tienen acceso a las pesonas que los pueden ayudar. Puesto que los Promotores prefieren participar e interactuar con personas durante el desarrollo de actividades, pueden mostrarse menos interesados en el cumplimiento de las tareas. Aunque sus trabajos requieran de atención en actividades más solitarias, continuarán buscando cualquier situación que implique reunirse con gente y hacer vida social. Les encanta participar en reuniones, comités y conferencias. Al ser usualmente optimistas, los Promotores tienden a sobreestimar la habilidad de los demás. Con frecuencia llegan a conclusiones favorables sin haber considerado todos los datos. Mediante un entrenamiento y orientación, los Promotores pueden aprender a desarrollar más objetividad y a ponderar los resultados. El manejo del tiempo se les puede dificultar. Les conviene fijarse límites de tiempo para sus conversaciones y discusiones, para recordarse a sí mismos la urgencia de "cerrar" y llevar a término la tarea.</t>
  </si>
  <si>
    <t>pensar menos en términos "esto -  o lo otro"; adquirir una mayor claridad sobre las prioridades de las tareas; dar mayor consideración a enfoques opcionales; estar más dispuesto a transar beneficios a corto plazo a favor de aquellos a largo plazo.</t>
  </si>
  <si>
    <t>La motivación de los Realizadores proviene primordialmente de sí mismos y surge de metas personales muy importante para ellos. Su compromiso con sus propias metas les impide aceptar las metas del grupo de manera automática e incondicional. Los Realizadores necesitan ver cómo pueden combinar sus metas personales con aquellas metas de la organización. Como han ejercido control sobre los aspectos más importantes de sus vidas, tienen un fuerte sentido de responsabilidad. Los Realizadores demuestran mucho interés por su trabajo y un continuo e intenso afan por conquistar sus logros. Tienen una alta opinión de su trabajo y cuando están bajo presión pueden mostrarse renuentes a delegar tareas. Cuando delegan, presentan la tendencia de objetar la tarea presentada si ésta no cumple con sus expectativas. Su premisa rectora es: "Si tengo éxito, merezco el crédito, pero si fracaso, asumo la responsabilidad." Un Realizador debe comunicarse más con los demás para ampliar su manera de pensar más allá del "tengo que hacerlo por mí mismo" o el "quiero todo el crédito para mí." Es posible que necesiten ayuda para encontrar nuevos métodos de lograr resultados deseados. Los Realizadores funcionan al máximo de su capacidad y esperan un reconocimiento equivalente a su contribución, mediante sueldos elevados en ciertas organizaciones y en otras con cargos de liderazgo.</t>
  </si>
  <si>
    <t>Los Resolutivos tienden a ser individuos obstinados en una búsqueda contínua de horizontes nuevos. Como son autosuficientes y pensadores independientes, prefieren encontrar sus propias soluciones. Al estar relativamente libres de las influencias restrictivas que pueda tener un grupo, los Resolutivos son capaces de pasar por encima de las convenciones y con frecuencia crean soluciones innovadoras. Aunque suelen comportarse de manera directa y energética, los Resolutivos también pueden manipular personas y situaciones astutamente. Suelen tomarse beligerantes cuando tienen que participar con otras pesonas en situaciones en que limitan su individualismo. Son pesistentes cuando buscan los resultados que quieren y harán lo que sea necesario para superar los obstáculos que se interpongan al éxito. Además, tienen altas expectativas de los demás y pueden tornarse crítivos cuando no se cumplen sus estándares. Lo que mas les interesa a los Reslutivos es lograr sus propias metas. Obtener retos y oportunidades para ascender tambien son importantes para ellos. Al estar centrados en resultados, pueden pasar por alto las inquietudes de los demás al carecer de empatía y mostrarse indiferentes.</t>
  </si>
  <si>
    <t>Informe de Resultados por patrón clásico</t>
  </si>
  <si>
    <t>Esta persona tiende  a ser directa y franca, tiene curiosidad intelectual y se siente a gusto enfrentando problemas que exijan esfuerzo analítico u originalidad; puede se crítica, lógica e incisiva para conseguir sus objetivos, incluso podría ser rudo y crítico con personas.</t>
  </si>
  <si>
    <t>Esta persona se impacienta por obtener resultádos y tiene un impulso instintivo por conseguir poder; responde rápidamente a desafíos y muestra movilidad y flexibilidad en su abordaje, muestra tendencia a ser muy versátil y auto-motivada y actúa con resolución y energía.</t>
  </si>
  <si>
    <t>Esta persona quiere alcanzar sus metas pero también quiere estar en lo correcto; su preocupación simultánea por las metas y por la calidad lo convierten en un perfeccionista sin mucho realismo; puede volverse tenso y dificil de predecir, en casos extremos puede llegar a desarrollar un nivel significativo de estrés.</t>
  </si>
  <si>
    <t>Esta persona tiene un perfil superactivo; es posible que esté presionada hasta su límite o fue promovido a una posición que excede su capacidad (principio de Peter); puede estar pasando por crisis en su nuevo empleo o cargo, lo que normalmente sucede entre los tres y los nueve meses; puede estar haciendo un esfuerzo por ser alguna cosa que no es o estar desempeñando un cargo incompatible con su personalidad.</t>
  </si>
  <si>
    <t>Esta persona tiene un perfil subactivo; puede tener falta de ánimo como resultado de alguna promoción o problema de capacidad del individuo; se le debe asesorar con el fin de que supere sus problemas; puede necesitar de motivación de parte de su jefe o de apoyo durante algun tiempo, con el fin de garantizar su eficiencia personal.</t>
  </si>
  <si>
    <t>Segmento</t>
  </si>
  <si>
    <t>Patrón</t>
  </si>
  <si>
    <t>Desconcertante</t>
  </si>
  <si>
    <t>Subactivo</t>
  </si>
  <si>
    <t>Superactivo</t>
  </si>
  <si>
    <t>Ecuánime</t>
  </si>
  <si>
    <t>Estimulante</t>
  </si>
  <si>
    <t>Intrépido</t>
  </si>
  <si>
    <t>Interpretacion de patrones</t>
  </si>
  <si>
    <t>Esta persona tiene un perfil estrecho; es posible que haya perdido su dirección personal, se sienta insegura para trabajar con los problemas que tiene, que tenga un trabajo que no se ajusta a sus caracteristicas comportamentales, esté desmotivado por su situación actual de trabajo o esté considerando un cambio de actividad profesional.</t>
  </si>
  <si>
    <t>Esta persona tiene un perfil estrecho; es posible que esté sin trabajo, tenga inseguridad financiera, o esté frustrado en su situación laboral actual porque el negocio no va bien o porque su jefe no está satisfecho con su trabajo.</t>
  </si>
  <si>
    <t>Esta persona tiene un perfil estrecho; es posible que tenga responsabilidad pero sin autoridad o esté reportando a varios superiores; existe la probabilidad que los objetivos no hayan sido definidos claramente por su superior o tenga un jefe agresivo con quien no se puede comunicar, puede estar frustrada porque piensa que puede aportar más a la organización.</t>
  </si>
  <si>
    <t>Esta persona tiene un perfil estrecho puro; es posible que no haya comprendido lo que se espera de ella en el trabajo, o esté tratando de ser todo para todos.</t>
  </si>
  <si>
    <t>Bryan Danilo Rauda Marquez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</si>
</sst>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0"/>
      <name val="Arial"/>
    </font>
    <font>
      <sz val="8"/>
      <name val="Arial"/>
      <family val="2"/>
    </font>
    <font>
      <b/>
      <sz val="10"/>
      <name val="Arial"/>
      <family val="2"/>
    </font>
    <font>
      <sz val="10"/>
      <name val="Arial"/>
      <family val="2"/>
    </font>
    <font>
      <b/>
      <sz val="6"/>
      <name val="Arial"/>
      <family val="2"/>
    </font>
    <font>
      <sz val="24"/>
      <name val="Arial"/>
      <family val="2"/>
    </font>
    <font>
      <sz val="11"/>
      <color rgb="FF000000"/>
      <name val="Calibri"/>
      <family val="2"/>
    </font>
    <font>
      <b/>
      <sz val="11"/>
      <color rgb="FF000000"/>
      <name val="Calibri"/>
      <family val="2"/>
    </font>
    <font>
      <b/>
      <u/>
      <sz val="11"/>
      <color rgb="FF000000"/>
      <name val="Calibri"/>
      <family val="2"/>
    </font>
    <font>
      <b/>
      <sz val="9"/>
      <name val="Arial"/>
      <family val="2"/>
    </font>
    <font>
      <sz val="9"/>
      <name val="Arial"/>
      <family val="2"/>
    </font>
    <font>
      <b/>
      <sz val="8"/>
      <name val="Arial"/>
      <family val="2"/>
    </font>
    <font>
      <sz val="11"/>
      <name val="Calibri"/>
      <family val="2"/>
    </font>
    <font>
      <b/>
      <sz val="11"/>
      <color rgb="FFFF0000"/>
      <name val="Calibri"/>
      <family val="2"/>
    </font>
    <font>
      <sz val="11"/>
      <name val="Arial"/>
      <family val="2"/>
    </font>
    <font>
      <sz val="10"/>
      <name val="Tahoma"/>
      <family val="2"/>
    </font>
    <font>
      <b/>
      <sz val="12"/>
      <color theme="0"/>
      <name val="Arial"/>
      <family val="2"/>
    </font>
    <font>
      <b/>
      <sz val="14"/>
      <color theme="0" tint="-4.9989318521683403E-2"/>
      <name val="Arial"/>
      <family val="2"/>
    </font>
    <font>
      <sz val="10"/>
      <color theme="0"/>
      <name val="Arial"/>
      <family val="2"/>
    </font>
    <font>
      <b/>
      <sz val="16"/>
      <color theme="0"/>
      <name val="Arial"/>
      <family val="2"/>
    </font>
    <font>
      <u/>
      <sz val="10"/>
      <name val="Tahoma"/>
      <family val="2"/>
    </font>
    <font>
      <b/>
      <sz val="12"/>
      <color theme="4"/>
      <name val="Arial"/>
      <family val="2"/>
    </font>
    <font>
      <b/>
      <sz val="11"/>
      <color rgb="FF0070C0"/>
      <name val="Cambria"/>
      <family val="1"/>
      <scheme val="major"/>
    </font>
    <font>
      <sz val="10"/>
      <name val="Albertus MT Lt"/>
    </font>
    <font>
      <b/>
      <sz val="8"/>
      <color theme="0"/>
      <name val="Arial"/>
      <family val="2"/>
    </font>
    <font>
      <sz val="16"/>
      <name val="Arial"/>
      <family val="2"/>
    </font>
    <font>
      <b/>
      <sz val="16"/>
      <color theme="4"/>
      <name val="Arial"/>
      <family val="2"/>
    </font>
    <font>
      <sz val="10"/>
      <name val="Arial"/>
      <family val="2"/>
    </font>
    <font>
      <b/>
      <sz val="11"/>
      <name val="Calibri"/>
      <family val="2"/>
      <scheme val="minor"/>
    </font>
    <font>
      <sz val="12"/>
      <name val="Arial"/>
      <family val="2"/>
    </font>
  </fonts>
  <fills count="1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0.34998626667073579"/>
        <bgColor indexed="64"/>
      </patternFill>
    </fill>
    <fill>
      <patternFill patternType="solid">
        <fgColor rgb="FFF1FEB2"/>
        <bgColor indexed="64"/>
      </patternFill>
    </fill>
    <fill>
      <patternFill patternType="solid">
        <fgColor rgb="FFFFCCFF"/>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
    <xf numFmtId="0" fontId="0" fillId="0" borderId="0"/>
    <xf numFmtId="0" fontId="27" fillId="0" borderId="0"/>
  </cellStyleXfs>
  <cellXfs count="141">
    <xf numFmtId="0" fontId="0" fillId="0" borderId="0" xfId="0"/>
    <xf numFmtId="0" fontId="0" fillId="2" borderId="0" xfId="0" applyFill="1"/>
    <xf numFmtId="0" fontId="2" fillId="2" borderId="1" xfId="0" applyFont="1" applyFill="1" applyBorder="1"/>
    <xf numFmtId="0" fontId="0" fillId="4" borderId="0" xfId="0" applyFill="1"/>
    <xf numFmtId="0" fontId="4" fillId="5" borderId="1" xfId="0" applyFont="1" applyFill="1" applyBorder="1" applyAlignment="1" applyProtection="1">
      <alignment horizontal="center"/>
      <protection hidden="1"/>
    </xf>
    <xf numFmtId="0" fontId="0" fillId="3" borderId="3" xfId="0" applyFill="1" applyBorder="1" applyProtection="1">
      <protection hidden="1"/>
    </xf>
    <xf numFmtId="0" fontId="0" fillId="3" borderId="4" xfId="0" applyFill="1" applyBorder="1" applyProtection="1">
      <protection hidden="1"/>
    </xf>
    <xf numFmtId="0" fontId="0" fillId="3" borderId="5" xfId="0" applyFill="1" applyBorder="1" applyProtection="1">
      <protection hidden="1"/>
    </xf>
    <xf numFmtId="0" fontId="2" fillId="3" borderId="4" xfId="0" applyFont="1" applyFill="1" applyBorder="1" applyAlignment="1" applyProtection="1">
      <alignment horizontal="center"/>
      <protection hidden="1"/>
    </xf>
    <xf numFmtId="0" fontId="0" fillId="3" borderId="8" xfId="0" applyFill="1" applyBorder="1" applyProtection="1">
      <protection hidden="1"/>
    </xf>
    <xf numFmtId="0" fontId="0" fillId="3" borderId="2" xfId="0" applyFill="1" applyBorder="1" applyProtection="1">
      <protection hidden="1"/>
    </xf>
    <xf numFmtId="0" fontId="0" fillId="3" borderId="9" xfId="0" applyFill="1" applyBorder="1" applyProtection="1">
      <protection hidden="1"/>
    </xf>
    <xf numFmtId="0" fontId="9" fillId="3" borderId="6" xfId="0" applyFont="1" applyFill="1" applyBorder="1" applyAlignment="1" applyProtection="1">
      <alignment horizontal="left"/>
      <protection hidden="1"/>
    </xf>
    <xf numFmtId="0" fontId="9" fillId="6" borderId="7" xfId="0" applyFont="1" applyFill="1" applyBorder="1" applyAlignment="1" applyProtection="1">
      <alignment horizontal="center"/>
      <protection hidden="1"/>
    </xf>
    <xf numFmtId="0" fontId="9" fillId="3" borderId="0" xfId="0" applyFont="1" applyFill="1" applyBorder="1" applyAlignment="1" applyProtection="1">
      <alignment horizontal="left"/>
      <protection hidden="1"/>
    </xf>
    <xf numFmtId="0" fontId="10" fillId="3" borderId="6" xfId="0" applyFont="1" applyFill="1" applyBorder="1" applyProtection="1">
      <protection hidden="1"/>
    </xf>
    <xf numFmtId="0" fontId="10" fillId="6" borderId="7" xfId="0" applyFont="1" applyFill="1" applyBorder="1" applyProtection="1">
      <protection hidden="1"/>
    </xf>
    <xf numFmtId="0" fontId="10" fillId="3" borderId="0" xfId="0" applyFont="1" applyFill="1" applyBorder="1" applyProtection="1">
      <protection hidden="1"/>
    </xf>
    <xf numFmtId="0" fontId="11" fillId="2" borderId="1" xfId="0" applyFont="1" applyFill="1" applyBorder="1" applyAlignment="1">
      <alignment horizontal="center" vertical="center"/>
    </xf>
    <xf numFmtId="0" fontId="3" fillId="2" borderId="0" xfId="0" applyFont="1" applyFill="1"/>
    <xf numFmtId="0" fontId="10" fillId="3" borderId="0" xfId="0" applyFont="1" applyFill="1" applyBorder="1" applyProtection="1"/>
    <xf numFmtId="0" fontId="10" fillId="5" borderId="1" xfId="0" applyFont="1" applyFill="1" applyBorder="1" applyAlignment="1" applyProtection="1">
      <alignment horizontal="center"/>
      <protection locked="0"/>
    </xf>
    <xf numFmtId="0" fontId="10" fillId="3" borderId="6" xfId="0" applyFont="1" applyFill="1" applyBorder="1" applyProtection="1"/>
    <xf numFmtId="0" fontId="14" fillId="2" borderId="0" xfId="0" applyFont="1" applyFill="1"/>
    <xf numFmtId="0" fontId="15" fillId="2" borderId="0" xfId="0" applyFont="1" applyFill="1"/>
    <xf numFmtId="0" fontId="2" fillId="9" borderId="1" xfId="0" applyFont="1" applyFill="1" applyBorder="1" applyAlignment="1">
      <alignment horizontal="center" vertical="center"/>
    </xf>
    <xf numFmtId="0" fontId="0" fillId="2" borderId="0" xfId="0" applyFill="1" applyAlignment="1">
      <alignment vertical="top"/>
    </xf>
    <xf numFmtId="0" fontId="4" fillId="2" borderId="1" xfId="0" applyFont="1" applyFill="1" applyBorder="1" applyAlignment="1">
      <alignment horizontal="left" vertical="center"/>
    </xf>
    <xf numFmtId="0" fontId="0" fillId="2" borderId="0" xfId="0" applyFill="1" applyBorder="1" applyAlignment="1" applyProtection="1">
      <alignment vertical="top"/>
      <protection hidden="1"/>
    </xf>
    <xf numFmtId="0" fontId="0" fillId="4" borderId="0" xfId="0" applyFill="1" applyAlignment="1"/>
    <xf numFmtId="14" fontId="0" fillId="4" borderId="0" xfId="0" applyNumberFormat="1" applyFill="1" applyAlignment="1"/>
    <xf numFmtId="0" fontId="0" fillId="8" borderId="1" xfId="0" applyFill="1" applyBorder="1"/>
    <xf numFmtId="14" fontId="0" fillId="2" borderId="0" xfId="0" applyNumberFormat="1" applyFill="1" applyBorder="1" applyAlignment="1">
      <alignment horizontal="center"/>
    </xf>
    <xf numFmtId="0" fontId="0" fillId="2" borderId="6" xfId="0" applyFill="1" applyBorder="1" applyAlignment="1">
      <alignment vertical="top" wrapText="1"/>
    </xf>
    <xf numFmtId="0" fontId="0" fillId="2" borderId="0" xfId="0" applyFill="1" applyBorder="1" applyAlignment="1">
      <alignment vertical="top" wrapText="1"/>
    </xf>
    <xf numFmtId="0" fontId="3" fillId="2" borderId="0" xfId="0" applyFont="1" applyFill="1" applyAlignment="1">
      <alignment horizontal="center"/>
    </xf>
    <xf numFmtId="0" fontId="3" fillId="2" borderId="0" xfId="0" applyFont="1" applyFill="1" applyBorder="1"/>
    <xf numFmtId="0" fontId="3" fillId="2" borderId="13"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1" xfId="0" applyFont="1" applyFill="1" applyBorder="1" applyAlignment="1">
      <alignment horizontal="left" vertical="center"/>
    </xf>
    <xf numFmtId="0" fontId="3" fillId="2" borderId="1" xfId="0" applyFont="1" applyFill="1" applyBorder="1"/>
    <xf numFmtId="0" fontId="3" fillId="2" borderId="1" xfId="0" applyFont="1" applyFill="1" applyBorder="1" applyAlignment="1">
      <alignment horizontal="center"/>
    </xf>
    <xf numFmtId="0" fontId="3" fillId="2" borderId="14" xfId="0" applyFont="1" applyFill="1" applyBorder="1" applyAlignment="1">
      <alignment horizontal="center"/>
    </xf>
    <xf numFmtId="0" fontId="3" fillId="11" borderId="1" xfId="0" applyFont="1" applyFill="1" applyBorder="1" applyAlignment="1">
      <alignment vertical="center"/>
    </xf>
    <xf numFmtId="0" fontId="3" fillId="12" borderId="1" xfId="0" applyFont="1" applyFill="1" applyBorder="1" applyAlignment="1">
      <alignment vertical="center"/>
    </xf>
    <xf numFmtId="0" fontId="3" fillId="11" borderId="1" xfId="0" applyFont="1" applyFill="1" applyBorder="1" applyAlignment="1"/>
    <xf numFmtId="0" fontId="3" fillId="12" borderId="1" xfId="0" applyFont="1" applyFill="1" applyBorder="1" applyAlignment="1"/>
    <xf numFmtId="0" fontId="3" fillId="2" borderId="0" xfId="0" applyFont="1" applyFill="1" applyBorder="1" applyAlignment="1">
      <alignment horizontal="center"/>
    </xf>
    <xf numFmtId="0" fontId="3" fillId="2" borderId="0" xfId="0" applyFont="1" applyFill="1" applyBorder="1" applyAlignment="1">
      <alignment vertical="center"/>
    </xf>
    <xf numFmtId="0" fontId="3" fillId="2" borderId="0" xfId="0" applyFont="1" applyFill="1" applyBorder="1" applyAlignment="1">
      <alignment vertical="top"/>
    </xf>
    <xf numFmtId="0" fontId="3" fillId="2" borderId="0" xfId="0" applyFont="1" applyFill="1" applyBorder="1" applyAlignment="1">
      <alignment horizontal="center" vertical="top"/>
    </xf>
    <xf numFmtId="0" fontId="1" fillId="2" borderId="1" xfId="0" applyFont="1" applyFill="1" applyBorder="1" applyAlignment="1">
      <alignment horizontal="left" vertical="center"/>
    </xf>
    <xf numFmtId="0" fontId="1" fillId="2" borderId="1" xfId="0" applyFont="1" applyFill="1" applyBorder="1" applyAlignment="1" applyProtection="1">
      <alignment horizontal="center" vertical="center"/>
      <protection hidden="1"/>
    </xf>
    <xf numFmtId="0" fontId="25" fillId="2" borderId="0" xfId="0" applyFont="1" applyFill="1"/>
    <xf numFmtId="0" fontId="27" fillId="2" borderId="0" xfId="1" applyFont="1" applyFill="1" applyBorder="1"/>
    <xf numFmtId="0" fontId="27" fillId="11" borderId="0" xfId="1" applyFont="1" applyFill="1" applyBorder="1"/>
    <xf numFmtId="0" fontId="28" fillId="16" borderId="0" xfId="0" applyFont="1" applyFill="1" applyBorder="1"/>
    <xf numFmtId="0" fontId="28" fillId="14" borderId="0" xfId="0" applyFont="1" applyFill="1" applyBorder="1"/>
    <xf numFmtId="49" fontId="27" fillId="17" borderId="0" xfId="1" applyNumberFormat="1" applyFont="1" applyFill="1" applyBorder="1" applyAlignment="1"/>
    <xf numFmtId="49" fontId="27" fillId="2" borderId="0" xfId="1" applyNumberFormat="1" applyFont="1" applyFill="1" applyBorder="1" applyAlignment="1"/>
    <xf numFmtId="0" fontId="3" fillId="2" borderId="0" xfId="0" applyNumberFormat="1" applyFont="1" applyFill="1"/>
    <xf numFmtId="0" fontId="29" fillId="2" borderId="0" xfId="0" applyFont="1" applyFill="1"/>
    <xf numFmtId="0" fontId="19" fillId="2" borderId="0" xfId="0" applyFont="1" applyFill="1" applyBorder="1" applyAlignment="1"/>
    <xf numFmtId="0" fontId="3" fillId="2" borderId="0" xfId="1" applyFont="1" applyFill="1" applyBorder="1"/>
    <xf numFmtId="1" fontId="18" fillId="2" borderId="0" xfId="0" applyNumberFormat="1" applyFont="1" applyFill="1" applyProtection="1">
      <protection locked="0" hidden="1"/>
    </xf>
    <xf numFmtId="0" fontId="17" fillId="10" borderId="1" xfId="0" applyFont="1" applyFill="1" applyBorder="1" applyAlignment="1" applyProtection="1">
      <alignment horizontal="center" vertical="center"/>
      <protection hidden="1"/>
    </xf>
    <xf numFmtId="2" fontId="18" fillId="2" borderId="0" xfId="0" applyNumberFormat="1" applyFont="1" applyFill="1" applyProtection="1">
      <protection hidden="1"/>
    </xf>
    <xf numFmtId="0" fontId="12" fillId="2" borderId="1" xfId="0" applyFont="1" applyFill="1" applyBorder="1" applyProtection="1">
      <protection hidden="1"/>
    </xf>
    <xf numFmtId="0" fontId="18" fillId="2" borderId="0" xfId="0" applyFont="1" applyFill="1" applyProtection="1">
      <protection locked="0"/>
    </xf>
    <xf numFmtId="2" fontId="18" fillId="2" borderId="0" xfId="0" applyNumberFormat="1" applyFont="1" applyFill="1" applyProtection="1">
      <protection locked="0" hidden="1"/>
    </xf>
    <xf numFmtId="0" fontId="6" fillId="8" borderId="10" xfId="0" applyFont="1" applyFill="1" applyBorder="1" applyAlignment="1">
      <alignment horizontal="justify" vertical="center" wrapText="1"/>
    </xf>
    <xf numFmtId="0" fontId="6" fillId="8" borderId="11" xfId="0" applyFont="1" applyFill="1" applyBorder="1" applyAlignment="1">
      <alignment horizontal="justify" vertical="center" wrapText="1"/>
    </xf>
    <xf numFmtId="0" fontId="6" fillId="8" borderId="12" xfId="0" applyFont="1" applyFill="1" applyBorder="1" applyAlignment="1">
      <alignment horizontal="justify" vertical="center" wrapText="1"/>
    </xf>
    <xf numFmtId="0" fontId="5" fillId="7" borderId="0" xfId="0" applyFont="1" applyFill="1" applyBorder="1" applyAlignment="1">
      <alignment horizontal="center"/>
    </xf>
    <xf numFmtId="0" fontId="3" fillId="8" borderId="1" xfId="0" applyFont="1" applyFill="1" applyBorder="1" applyAlignment="1">
      <alignment horizontal="center"/>
    </xf>
    <xf numFmtId="0" fontId="0" fillId="8" borderId="1" xfId="0" applyFill="1" applyBorder="1" applyAlignment="1">
      <alignment horizontal="center"/>
    </xf>
    <xf numFmtId="14" fontId="0" fillId="8" borderId="1" xfId="0" applyNumberFormat="1" applyFill="1" applyBorder="1" applyAlignment="1">
      <alignment horizontal="center"/>
    </xf>
    <xf numFmtId="0" fontId="0" fillId="2" borderId="2" xfId="0" applyFill="1" applyBorder="1" applyAlignment="1">
      <alignment horizontal="center"/>
    </xf>
    <xf numFmtId="14" fontId="0" fillId="2" borderId="2" xfId="0" applyNumberFormat="1" applyFill="1" applyBorder="1" applyAlignment="1">
      <alignment horizontal="center"/>
    </xf>
    <xf numFmtId="0" fontId="21" fillId="9" borderId="1" xfId="0" applyFont="1" applyFill="1" applyBorder="1" applyAlignment="1">
      <alignment horizontal="center" vertical="center"/>
    </xf>
    <xf numFmtId="0" fontId="23" fillId="2" borderId="6" xfId="0" applyFont="1" applyFill="1" applyBorder="1" applyAlignment="1" applyProtection="1">
      <alignment horizontal="justify" vertical="top"/>
      <protection hidden="1"/>
    </xf>
    <xf numFmtId="0" fontId="23" fillId="2" borderId="0" xfId="0" applyFont="1" applyFill="1" applyBorder="1" applyAlignment="1" applyProtection="1">
      <alignment horizontal="justify" vertical="top"/>
      <protection hidden="1"/>
    </xf>
    <xf numFmtId="0" fontId="23" fillId="2" borderId="7" xfId="0" applyFont="1" applyFill="1" applyBorder="1" applyAlignment="1" applyProtection="1">
      <alignment horizontal="justify" vertical="top"/>
      <protection hidden="1"/>
    </xf>
    <xf numFmtId="0" fontId="23" fillId="2" borderId="8" xfId="0" applyFont="1" applyFill="1" applyBorder="1" applyAlignment="1" applyProtection="1">
      <alignment horizontal="justify" vertical="top"/>
      <protection hidden="1"/>
    </xf>
    <xf numFmtId="0" fontId="23" fillId="2" borderId="2" xfId="0" applyFont="1" applyFill="1" applyBorder="1" applyAlignment="1" applyProtection="1">
      <alignment horizontal="justify" vertical="top"/>
      <protection hidden="1"/>
    </xf>
    <xf numFmtId="0" fontId="23" fillId="2" borderId="9" xfId="0" applyFont="1" applyFill="1" applyBorder="1" applyAlignment="1" applyProtection="1">
      <alignment horizontal="justify" vertical="top"/>
      <protection hidden="1"/>
    </xf>
    <xf numFmtId="0" fontId="11" fillId="15" borderId="10" xfId="0" applyFont="1" applyFill="1" applyBorder="1" applyAlignment="1">
      <alignment horizontal="right" vertical="center"/>
    </xf>
    <xf numFmtId="0" fontId="11" fillId="15" borderId="11" xfId="0" applyFont="1" applyFill="1" applyBorder="1" applyAlignment="1">
      <alignment horizontal="right" vertical="center"/>
    </xf>
    <xf numFmtId="0" fontId="11" fillId="15" borderId="12" xfId="0" applyFont="1" applyFill="1" applyBorder="1" applyAlignment="1">
      <alignment horizontal="right" vertical="center"/>
    </xf>
    <xf numFmtId="0" fontId="22" fillId="2" borderId="3" xfId="0" applyFont="1" applyFill="1" applyBorder="1" applyAlignment="1">
      <alignment horizontal="justify" vertical="center"/>
    </xf>
    <xf numFmtId="0" fontId="22" fillId="2" borderId="4" xfId="0" applyFont="1" applyFill="1" applyBorder="1" applyAlignment="1">
      <alignment horizontal="justify" vertical="center"/>
    </xf>
    <xf numFmtId="0" fontId="22" fillId="2" borderId="5" xfId="0" applyFont="1" applyFill="1" applyBorder="1" applyAlignment="1">
      <alignment horizontal="justify" vertical="center"/>
    </xf>
    <xf numFmtId="0" fontId="22" fillId="2" borderId="6" xfId="0" applyFont="1" applyFill="1" applyBorder="1" applyAlignment="1">
      <alignment horizontal="justify" vertical="center"/>
    </xf>
    <xf numFmtId="0" fontId="22" fillId="2" borderId="0" xfId="0" applyFont="1" applyFill="1" applyBorder="1" applyAlignment="1">
      <alignment horizontal="justify" vertical="center"/>
    </xf>
    <xf numFmtId="0" fontId="22" fillId="2" borderId="7" xfId="0" applyFont="1" applyFill="1" applyBorder="1" applyAlignment="1">
      <alignment horizontal="justify" vertical="center"/>
    </xf>
    <xf numFmtId="0" fontId="3" fillId="12" borderId="1" xfId="0" applyFont="1" applyFill="1" applyBorder="1" applyAlignment="1">
      <alignment vertical="center"/>
    </xf>
    <xf numFmtId="0" fontId="3" fillId="2" borderId="1" xfId="0" applyFont="1" applyFill="1" applyBorder="1" applyAlignment="1">
      <alignment horizontal="center" vertical="center"/>
    </xf>
    <xf numFmtId="0" fontId="1" fillId="5" borderId="1" xfId="0" applyFont="1" applyFill="1" applyBorder="1" applyAlignment="1" applyProtection="1">
      <alignment horizontal="justify" vertical="center" wrapText="1"/>
      <protection locked="0"/>
    </xf>
    <xf numFmtId="0" fontId="16" fillId="6" borderId="10" xfId="0" applyFont="1" applyFill="1" applyBorder="1" applyAlignment="1">
      <alignment horizontal="center" vertical="center" wrapText="1"/>
    </xf>
    <xf numFmtId="0" fontId="16" fillId="6" borderId="12" xfId="0" applyFont="1" applyFill="1" applyBorder="1" applyAlignment="1">
      <alignment horizontal="center" vertical="center" wrapText="1"/>
    </xf>
    <xf numFmtId="0" fontId="16" fillId="13" borderId="10" xfId="0" applyFont="1" applyFill="1" applyBorder="1" applyAlignment="1">
      <alignment horizontal="center" vertical="center" wrapText="1"/>
    </xf>
    <xf numFmtId="0" fontId="16" fillId="13" borderId="12" xfId="0" applyFont="1" applyFill="1" applyBorder="1" applyAlignment="1">
      <alignment horizontal="center" vertical="center" wrapText="1"/>
    </xf>
    <xf numFmtId="0" fontId="19" fillId="10" borderId="10" xfId="0" applyFont="1" applyFill="1" applyBorder="1" applyAlignment="1" applyProtection="1">
      <alignment horizontal="center" vertical="center"/>
      <protection hidden="1"/>
    </xf>
    <xf numFmtId="0" fontId="19" fillId="10" borderId="11" xfId="0" applyFont="1" applyFill="1" applyBorder="1" applyAlignment="1" applyProtection="1">
      <alignment horizontal="center" vertical="center"/>
      <protection hidden="1"/>
    </xf>
    <xf numFmtId="0" fontId="19" fillId="10" borderId="12" xfId="0" applyFont="1" applyFill="1" applyBorder="1" applyAlignment="1" applyProtection="1">
      <alignment horizontal="center" vertical="center"/>
      <protection hidden="1"/>
    </xf>
    <xf numFmtId="0" fontId="26" fillId="15" borderId="1" xfId="0" applyFont="1" applyFill="1" applyBorder="1" applyAlignment="1" applyProtection="1">
      <alignment horizontal="center"/>
      <protection hidden="1"/>
    </xf>
    <xf numFmtId="0" fontId="19" fillId="14" borderId="1" xfId="0" applyFont="1" applyFill="1" applyBorder="1" applyAlignment="1">
      <alignment horizontal="center"/>
    </xf>
    <xf numFmtId="0" fontId="3" fillId="12" borderId="10" xfId="0" applyFont="1" applyFill="1" applyBorder="1" applyAlignment="1">
      <alignment horizontal="center" vertical="center"/>
    </xf>
    <xf numFmtId="0" fontId="3" fillId="12" borderId="11" xfId="0" applyFont="1" applyFill="1" applyBorder="1" applyAlignment="1">
      <alignment horizontal="center" vertical="center"/>
    </xf>
    <xf numFmtId="0" fontId="3" fillId="12" borderId="12" xfId="0" applyFont="1" applyFill="1" applyBorder="1" applyAlignment="1">
      <alignment horizontal="center" vertical="center"/>
    </xf>
    <xf numFmtId="0" fontId="3" fillId="12" borderId="1" xfId="0" applyFont="1" applyFill="1" applyBorder="1" applyAlignment="1">
      <alignment horizontal="center"/>
    </xf>
    <xf numFmtId="0" fontId="3" fillId="11" borderId="1" xfId="0" applyFont="1" applyFill="1" applyBorder="1" applyAlignment="1">
      <alignment vertical="center"/>
    </xf>
    <xf numFmtId="0" fontId="3" fillId="11" borderId="14" xfId="0" applyFont="1" applyFill="1" applyBorder="1" applyAlignment="1">
      <alignment horizontal="center" vertical="center"/>
    </xf>
    <xf numFmtId="0" fontId="3" fillId="11" borderId="15" xfId="0" applyFont="1" applyFill="1" applyBorder="1" applyAlignment="1">
      <alignment horizontal="center" vertical="center"/>
    </xf>
    <xf numFmtId="0" fontId="3" fillId="11" borderId="13" xfId="0" applyFont="1" applyFill="1" applyBorder="1" applyAlignment="1">
      <alignment horizontal="center" vertical="center"/>
    </xf>
    <xf numFmtId="0" fontId="3" fillId="11" borderId="1" xfId="0" applyFont="1" applyFill="1" applyBorder="1" applyAlignment="1">
      <alignment horizontal="center"/>
    </xf>
    <xf numFmtId="0" fontId="3" fillId="11" borderId="10" xfId="0" applyFont="1" applyFill="1" applyBorder="1" applyAlignment="1">
      <alignment horizontal="center" vertical="center"/>
    </xf>
    <xf numFmtId="0" fontId="3" fillId="11" borderId="11" xfId="0" applyFont="1" applyFill="1" applyBorder="1" applyAlignment="1">
      <alignment horizontal="center" vertical="center"/>
    </xf>
    <xf numFmtId="0" fontId="3" fillId="11" borderId="12" xfId="0" applyFont="1" applyFill="1" applyBorder="1" applyAlignment="1">
      <alignment horizontal="center" vertical="center"/>
    </xf>
    <xf numFmtId="0" fontId="3" fillId="11" borderId="10" xfId="0" applyFont="1" applyFill="1" applyBorder="1" applyAlignment="1">
      <alignment horizontal="center"/>
    </xf>
    <xf numFmtId="0" fontId="3" fillId="11" borderId="11" xfId="0" applyFont="1" applyFill="1" applyBorder="1" applyAlignment="1">
      <alignment horizontal="center"/>
    </xf>
    <xf numFmtId="0" fontId="3" fillId="11" borderId="12" xfId="0" applyFont="1" applyFill="1" applyBorder="1" applyAlignment="1">
      <alignment horizontal="center"/>
    </xf>
    <xf numFmtId="0" fontId="3" fillId="12" borderId="10" xfId="0" applyFont="1" applyFill="1" applyBorder="1" applyAlignment="1">
      <alignment horizontal="center"/>
    </xf>
    <xf numFmtId="0" fontId="3" fillId="12" borderId="11" xfId="0" applyFont="1" applyFill="1" applyBorder="1" applyAlignment="1">
      <alignment horizontal="center"/>
    </xf>
    <xf numFmtId="0" fontId="3" fillId="12" borderId="12" xfId="0" applyFont="1" applyFill="1" applyBorder="1" applyAlignment="1">
      <alignment horizontal="center"/>
    </xf>
    <xf numFmtId="0" fontId="24" fillId="13" borderId="10" xfId="0" applyFont="1" applyFill="1" applyBorder="1" applyAlignment="1">
      <alignment horizontal="right" vertical="center"/>
    </xf>
    <xf numFmtId="0" fontId="24" fillId="13" borderId="11" xfId="0" applyFont="1" applyFill="1" applyBorder="1" applyAlignment="1">
      <alignment horizontal="right" vertical="center"/>
    </xf>
    <xf numFmtId="0" fontId="24" fillId="13" borderId="12" xfId="0" applyFont="1" applyFill="1" applyBorder="1" applyAlignment="1">
      <alignment horizontal="right" vertical="center"/>
    </xf>
    <xf numFmtId="0" fontId="1" fillId="5" borderId="1" xfId="0" applyFont="1" applyFill="1" applyBorder="1" applyAlignment="1">
      <alignment horizontal="justify" vertical="center" wrapText="1"/>
    </xf>
    <xf numFmtId="0" fontId="3" fillId="12" borderId="14" xfId="0" applyFont="1" applyFill="1" applyBorder="1" applyAlignment="1">
      <alignment horizontal="center" vertical="center"/>
    </xf>
    <xf numFmtId="0" fontId="3" fillId="12" borderId="15" xfId="0" applyFont="1" applyFill="1" applyBorder="1" applyAlignment="1">
      <alignment horizontal="center" vertical="center"/>
    </xf>
    <xf numFmtId="0" fontId="3" fillId="12" borderId="13" xfId="0" applyFont="1" applyFill="1" applyBorder="1" applyAlignment="1">
      <alignment horizontal="center" vertical="center"/>
    </xf>
    <xf numFmtId="0" fontId="3" fillId="11" borderId="1" xfId="0" applyFont="1" applyFill="1" applyBorder="1" applyAlignment="1">
      <alignment horizontal="center" vertical="center"/>
    </xf>
    <xf numFmtId="0" fontId="19" fillId="10" borderId="10" xfId="0" applyFont="1" applyFill="1" applyBorder="1" applyAlignment="1" applyProtection="1">
      <alignment horizontal="center" vertical="center"/>
      <protection locked="0" hidden="1"/>
    </xf>
    <xf numFmtId="0" fontId="19" fillId="10" borderId="11" xfId="0" applyFont="1" applyFill="1" applyBorder="1" applyAlignment="1" applyProtection="1">
      <alignment horizontal="center" vertical="center"/>
      <protection locked="0" hidden="1"/>
    </xf>
    <xf numFmtId="0" fontId="19" fillId="10" borderId="12" xfId="0" applyFont="1" applyFill="1" applyBorder="1" applyAlignment="1" applyProtection="1">
      <alignment horizontal="center" vertical="center"/>
      <protection locked="0" hidden="1"/>
    </xf>
    <xf numFmtId="0" fontId="19" fillId="14" borderId="10" xfId="0" applyFont="1" applyFill="1" applyBorder="1" applyAlignment="1">
      <alignment horizontal="center"/>
    </xf>
    <xf numFmtId="0" fontId="19" fillId="14" borderId="11" xfId="0" applyFont="1" applyFill="1" applyBorder="1" applyAlignment="1">
      <alignment horizontal="center"/>
    </xf>
    <xf numFmtId="0" fontId="19" fillId="14" borderId="2" xfId="0" applyFont="1" applyFill="1" applyBorder="1" applyAlignment="1">
      <alignment horizontal="center"/>
    </xf>
  </cellXfs>
  <cellStyles count="2">
    <cellStyle name="Normal" xfId="0" builtinId="0"/>
    <cellStyle name="Normal 2" xfId="1" xr:uid="{00000000-0005-0000-0000-000001000000}"/>
  </cellStyles>
  <dxfs count="0"/>
  <tableStyles count="0" defaultTableStyle="TableStyleMedium9" defaultPivotStyle="PivotStyleLight16"/>
  <colors>
    <mruColors>
      <color rgb="FFFFFFCC"/>
      <color rgb="FFFFCCFF"/>
      <color rgb="FFF1FEB2"/>
      <color rgb="FF66FF99"/>
      <color rgb="FFFFFF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lang="es-SV" sz="1200">
                <a:solidFill>
                  <a:srgbClr val="0070C0"/>
                </a:solidFill>
              </a:defRPr>
            </a:pPr>
            <a:r>
              <a:rPr lang="es-MX" sz="1200">
                <a:solidFill>
                  <a:srgbClr val="0070C0"/>
                </a:solidFill>
              </a:rPr>
              <a:t>Imagen proyectada</a:t>
            </a:r>
          </a:p>
        </c:rich>
      </c:tx>
      <c:overlay val="0"/>
    </c:title>
    <c:autoTitleDeleted val="0"/>
    <c:plotArea>
      <c:layout/>
      <c:lineChart>
        <c:grouping val="standard"/>
        <c:varyColors val="0"/>
        <c:ser>
          <c:idx val="0"/>
          <c:order val="0"/>
          <c:cat>
            <c:multiLvlStrRef>
              <c:f>Resultados!$B$74:$C$77</c:f>
              <c:multiLvlStrCache>
                <c:ptCount val="4"/>
                <c:lvl>
                  <c:pt idx="0">
                    <c:v>85</c:v>
                  </c:pt>
                  <c:pt idx="1">
                    <c:v>70</c:v>
                  </c:pt>
                  <c:pt idx="2">
                    <c:v>70</c:v>
                  </c:pt>
                  <c:pt idx="3">
                    <c:v>5</c:v>
                  </c:pt>
                </c:lvl>
                <c:lvl>
                  <c:pt idx="0">
                    <c:v>D</c:v>
                  </c:pt>
                  <c:pt idx="1">
                    <c:v>I</c:v>
                  </c:pt>
                  <c:pt idx="2">
                    <c:v>S</c:v>
                  </c:pt>
                  <c:pt idx="3">
                    <c:v>C</c:v>
                  </c:pt>
                </c:lvl>
              </c:multiLvlStrCache>
            </c:multiLvlStrRef>
          </c:cat>
          <c:val>
            <c:numRef>
              <c:f>Resultados!$C$74:$C$77</c:f>
              <c:numCache>
                <c:formatCode>General</c:formatCode>
                <c:ptCount val="4"/>
                <c:pt idx="0">
                  <c:v>85</c:v>
                </c:pt>
                <c:pt idx="1">
                  <c:v>70</c:v>
                </c:pt>
                <c:pt idx="2">
                  <c:v>70</c:v>
                </c:pt>
                <c:pt idx="3">
                  <c:v>5</c:v>
                </c:pt>
              </c:numCache>
            </c:numRef>
          </c:val>
          <c:smooth val="0"/>
          <c:extLst>
            <c:ext xmlns:c16="http://schemas.microsoft.com/office/drawing/2014/chart" uri="{C3380CC4-5D6E-409C-BE32-E72D297353CC}">
              <c16:uniqueId val="{00000000-0D06-4D31-B3A4-012C134F1AD9}"/>
            </c:ext>
          </c:extLst>
        </c:ser>
        <c:dLbls>
          <c:showLegendKey val="0"/>
          <c:showVal val="0"/>
          <c:showCatName val="0"/>
          <c:showSerName val="0"/>
          <c:showPercent val="0"/>
          <c:showBubbleSize val="0"/>
        </c:dLbls>
        <c:marker val="1"/>
        <c:smooth val="0"/>
        <c:axId val="79184640"/>
        <c:axId val="79186176"/>
      </c:lineChart>
      <c:catAx>
        <c:axId val="79184640"/>
        <c:scaling>
          <c:orientation val="minMax"/>
        </c:scaling>
        <c:delete val="0"/>
        <c:axPos val="b"/>
        <c:numFmt formatCode="General" sourceLinked="1"/>
        <c:majorTickMark val="none"/>
        <c:minorTickMark val="none"/>
        <c:tickLblPos val="nextTo"/>
        <c:txPr>
          <a:bodyPr/>
          <a:lstStyle/>
          <a:p>
            <a:pPr>
              <a:defRPr lang="es-SV"/>
            </a:pPr>
            <a:endParaRPr lang="en-US"/>
          </a:p>
        </c:txPr>
        <c:crossAx val="79186176"/>
        <c:crosses val="autoZero"/>
        <c:auto val="1"/>
        <c:lblAlgn val="ctr"/>
        <c:lblOffset val="100"/>
        <c:noMultiLvlLbl val="0"/>
      </c:catAx>
      <c:valAx>
        <c:axId val="79186176"/>
        <c:scaling>
          <c:orientation val="minMax"/>
          <c:max val="100"/>
          <c:min val="0"/>
        </c:scaling>
        <c:delete val="0"/>
        <c:axPos val="l"/>
        <c:majorGridlines/>
        <c:numFmt formatCode="General" sourceLinked="1"/>
        <c:majorTickMark val="none"/>
        <c:minorTickMark val="none"/>
        <c:tickLblPos val="nextTo"/>
        <c:txPr>
          <a:bodyPr/>
          <a:lstStyle/>
          <a:p>
            <a:pPr>
              <a:defRPr lang="es-SV"/>
            </a:pPr>
            <a:endParaRPr lang="en-US"/>
          </a:p>
        </c:txPr>
        <c:crossAx val="79184640"/>
        <c:crosses val="autoZero"/>
        <c:crossBetween val="between"/>
        <c:majorUnit val="10"/>
        <c:minorUnit val="5"/>
      </c:valAx>
    </c:plotArea>
    <c:plotVisOnly val="1"/>
    <c:dispBlanksAs val="gap"/>
    <c:showDLblsOverMax val="0"/>
  </c:chart>
  <c:spPr>
    <a:solidFill>
      <a:schemeClr val="accent3">
        <a:lumMod val="40000"/>
        <a:lumOff val="60000"/>
      </a:schemeClr>
    </a:solidFill>
  </c:spPr>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lang="es-SV" sz="1200">
                <a:solidFill>
                  <a:srgbClr val="0070C0"/>
                </a:solidFill>
              </a:defRPr>
            </a:pPr>
            <a:r>
              <a:rPr lang="es-MX" sz="1200">
                <a:solidFill>
                  <a:srgbClr val="0070C0"/>
                </a:solidFill>
              </a:rPr>
              <a:t>Imagen privada</a:t>
            </a:r>
          </a:p>
        </c:rich>
      </c:tx>
      <c:overlay val="0"/>
      <c:spPr>
        <a:solidFill>
          <a:srgbClr val="9BBB59">
            <a:lumMod val="40000"/>
            <a:lumOff val="60000"/>
          </a:srgbClr>
        </a:solidFill>
      </c:spPr>
    </c:title>
    <c:autoTitleDeleted val="0"/>
    <c:plotArea>
      <c:layout/>
      <c:lineChart>
        <c:grouping val="standard"/>
        <c:varyColors val="0"/>
        <c:ser>
          <c:idx val="0"/>
          <c:order val="0"/>
          <c:cat>
            <c:multiLvlStrRef>
              <c:f>Resultados!$F$74:$G$77</c:f>
              <c:multiLvlStrCache>
                <c:ptCount val="4"/>
                <c:lvl>
                  <c:pt idx="0">
                    <c:v>65</c:v>
                  </c:pt>
                  <c:pt idx="1">
                    <c:v>22</c:v>
                  </c:pt>
                  <c:pt idx="2">
                    <c:v>49</c:v>
                  </c:pt>
                  <c:pt idx="3">
                    <c:v>65</c:v>
                  </c:pt>
                </c:lvl>
                <c:lvl>
                  <c:pt idx="0">
                    <c:v>D</c:v>
                  </c:pt>
                  <c:pt idx="1">
                    <c:v>I</c:v>
                  </c:pt>
                  <c:pt idx="2">
                    <c:v>S</c:v>
                  </c:pt>
                  <c:pt idx="3">
                    <c:v>C</c:v>
                  </c:pt>
                </c:lvl>
              </c:multiLvlStrCache>
            </c:multiLvlStrRef>
          </c:cat>
          <c:val>
            <c:numRef>
              <c:f>Resultados!$G$74:$G$77</c:f>
              <c:numCache>
                <c:formatCode>General</c:formatCode>
                <c:ptCount val="4"/>
                <c:pt idx="0">
                  <c:v>65</c:v>
                </c:pt>
                <c:pt idx="1">
                  <c:v>22</c:v>
                </c:pt>
                <c:pt idx="2">
                  <c:v>49</c:v>
                </c:pt>
                <c:pt idx="3">
                  <c:v>65</c:v>
                </c:pt>
              </c:numCache>
            </c:numRef>
          </c:val>
          <c:smooth val="0"/>
          <c:extLst>
            <c:ext xmlns:c16="http://schemas.microsoft.com/office/drawing/2014/chart" uri="{C3380CC4-5D6E-409C-BE32-E72D297353CC}">
              <c16:uniqueId val="{00000000-8ABC-45F3-B610-26CCFA98E0D6}"/>
            </c:ext>
          </c:extLst>
        </c:ser>
        <c:dLbls>
          <c:showLegendKey val="0"/>
          <c:showVal val="0"/>
          <c:showCatName val="0"/>
          <c:showSerName val="0"/>
          <c:showPercent val="0"/>
          <c:showBubbleSize val="0"/>
        </c:dLbls>
        <c:marker val="1"/>
        <c:smooth val="0"/>
        <c:axId val="79275904"/>
        <c:axId val="79277440"/>
      </c:lineChart>
      <c:catAx>
        <c:axId val="79275904"/>
        <c:scaling>
          <c:orientation val="minMax"/>
        </c:scaling>
        <c:delete val="0"/>
        <c:axPos val="b"/>
        <c:numFmt formatCode="General" sourceLinked="1"/>
        <c:majorTickMark val="none"/>
        <c:minorTickMark val="none"/>
        <c:tickLblPos val="nextTo"/>
        <c:txPr>
          <a:bodyPr/>
          <a:lstStyle/>
          <a:p>
            <a:pPr>
              <a:defRPr lang="es-SV"/>
            </a:pPr>
            <a:endParaRPr lang="en-US"/>
          </a:p>
        </c:txPr>
        <c:crossAx val="79277440"/>
        <c:crosses val="autoZero"/>
        <c:auto val="1"/>
        <c:lblAlgn val="ctr"/>
        <c:lblOffset val="100"/>
        <c:noMultiLvlLbl val="0"/>
      </c:catAx>
      <c:valAx>
        <c:axId val="79277440"/>
        <c:scaling>
          <c:orientation val="minMax"/>
          <c:max val="100"/>
          <c:min val="0"/>
        </c:scaling>
        <c:delete val="0"/>
        <c:axPos val="l"/>
        <c:majorGridlines/>
        <c:numFmt formatCode="General" sourceLinked="1"/>
        <c:majorTickMark val="none"/>
        <c:minorTickMark val="none"/>
        <c:tickLblPos val="nextTo"/>
        <c:txPr>
          <a:bodyPr/>
          <a:lstStyle/>
          <a:p>
            <a:pPr>
              <a:defRPr lang="es-SV"/>
            </a:pPr>
            <a:endParaRPr lang="en-US"/>
          </a:p>
        </c:txPr>
        <c:crossAx val="79275904"/>
        <c:crosses val="autoZero"/>
        <c:crossBetween val="between"/>
        <c:majorUnit val="10"/>
        <c:minorUnit val="5"/>
      </c:valAx>
    </c:plotArea>
    <c:plotVisOnly val="1"/>
    <c:dispBlanksAs val="gap"/>
    <c:showDLblsOverMax val="0"/>
  </c:chart>
  <c:spPr>
    <a:solidFill>
      <a:schemeClr val="accent3">
        <a:lumMod val="40000"/>
        <a:lumOff val="60000"/>
      </a:schemeClr>
    </a:solidFill>
  </c:spPr>
  <c:printSettings>
    <c:headerFooter/>
    <c:pageMargins b="0.75000000000000988" l="0.70000000000000062" r="0.70000000000000062" t="0.7500000000000098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lang="es-SV" sz="1200">
                <a:solidFill>
                  <a:srgbClr val="0070C0"/>
                </a:solidFill>
              </a:defRPr>
            </a:pPr>
            <a:r>
              <a:rPr lang="es-MX" sz="1200">
                <a:solidFill>
                  <a:srgbClr val="0070C0"/>
                </a:solidFill>
              </a:rPr>
              <a:t>Compuesto</a:t>
            </a:r>
          </a:p>
        </c:rich>
      </c:tx>
      <c:overlay val="0"/>
    </c:title>
    <c:autoTitleDeleted val="0"/>
    <c:plotArea>
      <c:layout/>
      <c:lineChart>
        <c:grouping val="standard"/>
        <c:varyColors val="0"/>
        <c:ser>
          <c:idx val="0"/>
          <c:order val="0"/>
          <c:cat>
            <c:multiLvlStrRef>
              <c:f>Resultados!$J$74:$K$77</c:f>
              <c:multiLvlStrCache>
                <c:ptCount val="4"/>
                <c:lvl>
                  <c:pt idx="0">
                    <c:v>58</c:v>
                  </c:pt>
                  <c:pt idx="1">
                    <c:v>34</c:v>
                  </c:pt>
                  <c:pt idx="2">
                    <c:v>28</c:v>
                  </c:pt>
                  <c:pt idx="3">
                    <c:v>90</c:v>
                  </c:pt>
                </c:lvl>
                <c:lvl>
                  <c:pt idx="0">
                    <c:v>D</c:v>
                  </c:pt>
                  <c:pt idx="1">
                    <c:v>I</c:v>
                  </c:pt>
                  <c:pt idx="2">
                    <c:v>S</c:v>
                  </c:pt>
                  <c:pt idx="3">
                    <c:v>C</c:v>
                  </c:pt>
                </c:lvl>
              </c:multiLvlStrCache>
            </c:multiLvlStrRef>
          </c:cat>
          <c:val>
            <c:numRef>
              <c:f>Resultados!$K$74:$K$77</c:f>
              <c:numCache>
                <c:formatCode>General</c:formatCode>
                <c:ptCount val="4"/>
                <c:pt idx="0">
                  <c:v>58</c:v>
                </c:pt>
                <c:pt idx="1">
                  <c:v>34</c:v>
                </c:pt>
                <c:pt idx="2">
                  <c:v>28</c:v>
                </c:pt>
                <c:pt idx="3">
                  <c:v>90</c:v>
                </c:pt>
              </c:numCache>
            </c:numRef>
          </c:val>
          <c:smooth val="0"/>
          <c:extLst>
            <c:ext xmlns:c16="http://schemas.microsoft.com/office/drawing/2014/chart" uri="{C3380CC4-5D6E-409C-BE32-E72D297353CC}">
              <c16:uniqueId val="{00000000-3CAE-4501-9825-02D66EB5E1A2}"/>
            </c:ext>
          </c:extLst>
        </c:ser>
        <c:dLbls>
          <c:showLegendKey val="0"/>
          <c:showVal val="0"/>
          <c:showCatName val="0"/>
          <c:showSerName val="0"/>
          <c:showPercent val="0"/>
          <c:showBubbleSize val="0"/>
        </c:dLbls>
        <c:marker val="1"/>
        <c:smooth val="0"/>
        <c:axId val="91562752"/>
        <c:axId val="91564288"/>
      </c:lineChart>
      <c:catAx>
        <c:axId val="91562752"/>
        <c:scaling>
          <c:orientation val="minMax"/>
        </c:scaling>
        <c:delete val="0"/>
        <c:axPos val="b"/>
        <c:numFmt formatCode="General" sourceLinked="1"/>
        <c:majorTickMark val="none"/>
        <c:minorTickMark val="none"/>
        <c:tickLblPos val="nextTo"/>
        <c:txPr>
          <a:bodyPr/>
          <a:lstStyle/>
          <a:p>
            <a:pPr>
              <a:defRPr lang="es-SV"/>
            </a:pPr>
            <a:endParaRPr lang="en-US"/>
          </a:p>
        </c:txPr>
        <c:crossAx val="91564288"/>
        <c:crosses val="autoZero"/>
        <c:auto val="1"/>
        <c:lblAlgn val="ctr"/>
        <c:lblOffset val="100"/>
        <c:noMultiLvlLbl val="0"/>
      </c:catAx>
      <c:valAx>
        <c:axId val="91564288"/>
        <c:scaling>
          <c:orientation val="minMax"/>
          <c:max val="100"/>
          <c:min val="0"/>
        </c:scaling>
        <c:delete val="0"/>
        <c:axPos val="l"/>
        <c:majorGridlines/>
        <c:numFmt formatCode="General" sourceLinked="1"/>
        <c:majorTickMark val="none"/>
        <c:minorTickMark val="none"/>
        <c:tickLblPos val="nextTo"/>
        <c:txPr>
          <a:bodyPr/>
          <a:lstStyle/>
          <a:p>
            <a:pPr>
              <a:defRPr lang="es-SV"/>
            </a:pPr>
            <a:endParaRPr lang="en-US"/>
          </a:p>
        </c:txPr>
        <c:crossAx val="91562752"/>
        <c:crosses val="autoZero"/>
        <c:crossBetween val="between"/>
        <c:majorUnit val="10"/>
        <c:minorUnit val="5"/>
      </c:valAx>
    </c:plotArea>
    <c:plotVisOnly val="1"/>
    <c:dispBlanksAs val="gap"/>
    <c:showDLblsOverMax val="0"/>
  </c:chart>
  <c:spPr>
    <a:solidFill>
      <a:schemeClr val="accent3">
        <a:lumMod val="40000"/>
        <a:lumOff val="60000"/>
      </a:schemeClr>
    </a:solidFill>
  </c:spPr>
  <c:printSettings>
    <c:headerFooter/>
    <c:pageMargins b="0.75000000000000988" l="0.70000000000000062" r="0.70000000000000062" t="0.75000000000000988" header="0.30000000000000032" footer="0.30000000000000032"/>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657225</xdr:colOff>
          <xdr:row>4</xdr:row>
          <xdr:rowOff>57150</xdr:rowOff>
        </xdr:from>
        <xdr:to>
          <xdr:col>11</xdr:col>
          <xdr:colOff>228600</xdr:colOff>
          <xdr:row>4</xdr:row>
          <xdr:rowOff>361950</xdr:rowOff>
        </xdr:to>
        <xdr:sp macro="" textlink="">
          <xdr:nvSpPr>
            <xdr:cNvPr id="2049" name="cmb_limpia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133350</xdr:colOff>
      <xdr:row>6</xdr:row>
      <xdr:rowOff>150801</xdr:rowOff>
    </xdr:from>
    <xdr:to>
      <xdr:col>3</xdr:col>
      <xdr:colOff>552225</xdr:colOff>
      <xdr:row>25</xdr:row>
      <xdr:rowOff>14551</xdr:rowOff>
    </xdr:to>
    <xdr:graphicFrame macro="">
      <xdr:nvGraphicFramePr>
        <xdr:cNvPr id="1627" name="5 Gráfico">
          <a:extLst>
            <a:ext uri="{FF2B5EF4-FFF2-40B4-BE49-F238E27FC236}">
              <a16:creationId xmlns:a16="http://schemas.microsoft.com/office/drawing/2014/main" id="{00000000-0008-0000-0100-00005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24607</xdr:colOff>
      <xdr:row>7</xdr:row>
      <xdr:rowOff>3958</xdr:rowOff>
    </xdr:from>
    <xdr:to>
      <xdr:col>6</xdr:col>
      <xdr:colOff>586357</xdr:colOff>
      <xdr:row>25</xdr:row>
      <xdr:rowOff>26458</xdr:rowOff>
    </xdr:to>
    <xdr:graphicFrame macro="">
      <xdr:nvGraphicFramePr>
        <xdr:cNvPr id="1628" name="6 Gráfico">
          <a:extLst>
            <a:ext uri="{FF2B5EF4-FFF2-40B4-BE49-F238E27FC236}">
              <a16:creationId xmlns:a16="http://schemas.microsoft.com/office/drawing/2014/main" id="{00000000-0008-0000-0100-00005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58739</xdr:colOff>
      <xdr:row>7</xdr:row>
      <xdr:rowOff>15864</xdr:rowOff>
    </xdr:from>
    <xdr:to>
      <xdr:col>10</xdr:col>
      <xdr:colOff>1364</xdr:colOff>
      <xdr:row>25</xdr:row>
      <xdr:rowOff>38364</xdr:rowOff>
    </xdr:to>
    <xdr:graphicFrame macro="">
      <xdr:nvGraphicFramePr>
        <xdr:cNvPr id="1629" name="7 Gráfico">
          <a:extLst>
            <a:ext uri="{FF2B5EF4-FFF2-40B4-BE49-F238E27FC236}">
              <a16:creationId xmlns:a16="http://schemas.microsoft.com/office/drawing/2014/main" id="{00000000-0008-0000-0100-00005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N56"/>
  <sheetViews>
    <sheetView tabSelected="1" zoomScaleNormal="100" workbookViewId="0">
      <selection activeCell="L10" sqref="L10"/>
    </sheetView>
  </sheetViews>
  <sheetFormatPr baseColWidth="10" defaultColWidth="11.42578125" defaultRowHeight="12.75"/>
  <cols>
    <col min="1" max="1" width="1.7109375" style="1" customWidth="1"/>
    <col min="2" max="2" width="16.7109375" style="1" bestFit="1" customWidth="1"/>
    <col min="3" max="4" width="5.28515625" style="1" customWidth="1"/>
    <col min="5" max="5" width="2.28515625" style="1" customWidth="1"/>
    <col min="6" max="6" width="21" style="1" bestFit="1" customWidth="1"/>
    <col min="7" max="8" width="5.28515625" style="1" customWidth="1"/>
    <col min="9" max="9" width="2.28515625" style="1" customWidth="1"/>
    <col min="10" max="10" width="19.140625" style="1" bestFit="1" customWidth="1"/>
    <col min="11" max="12" width="5.28515625" style="1" customWidth="1"/>
    <col min="13" max="13" width="2.28515625" style="1" customWidth="1"/>
    <col min="14" max="14" width="1.7109375" style="1" customWidth="1"/>
    <col min="15" max="16384" width="11.42578125" style="1"/>
  </cols>
  <sheetData>
    <row r="1" spans="1:14" ht="8.25" customHeight="1">
      <c r="A1" s="3"/>
      <c r="B1" s="3"/>
      <c r="C1" s="3"/>
      <c r="D1" s="3"/>
      <c r="E1" s="3"/>
      <c r="F1" s="3"/>
      <c r="G1" s="3"/>
      <c r="H1" s="3"/>
      <c r="I1" s="3"/>
      <c r="J1" s="3"/>
      <c r="K1" s="3"/>
      <c r="L1" s="3"/>
      <c r="M1" s="3"/>
      <c r="N1" s="3"/>
    </row>
    <row r="2" spans="1:14">
      <c r="A2" s="3"/>
      <c r="B2" s="31" t="s">
        <v>157</v>
      </c>
      <c r="C2" s="76" t="s">
        <v>353</v>
      </c>
      <c r="D2" s="77"/>
      <c r="E2" s="77"/>
      <c r="F2" s="77"/>
      <c r="G2" s="77"/>
      <c r="H2" s="77"/>
      <c r="I2" s="77"/>
      <c r="J2" s="77"/>
      <c r="K2" s="77"/>
      <c r="L2" s="77"/>
      <c r="M2" s="77"/>
      <c r="N2" s="29"/>
    </row>
    <row r="3" spans="1:14">
      <c r="A3" s="3"/>
      <c r="B3" s="31" t="s">
        <v>158</v>
      </c>
      <c r="C3" s="78">
        <v>44877</v>
      </c>
      <c r="D3" s="78"/>
      <c r="E3" s="78"/>
      <c r="F3" s="78"/>
      <c r="G3" s="78"/>
      <c r="H3" s="78"/>
      <c r="I3" s="78"/>
      <c r="J3" s="78"/>
      <c r="K3" s="78"/>
      <c r="L3" s="78"/>
      <c r="M3" s="78"/>
      <c r="N3" s="30"/>
    </row>
    <row r="4" spans="1:14" ht="7.5" customHeight="1">
      <c r="A4" s="3"/>
      <c r="B4" s="3"/>
      <c r="C4" s="3"/>
      <c r="D4" s="3"/>
      <c r="E4" s="3"/>
      <c r="F4" s="3"/>
      <c r="G4" s="3"/>
      <c r="H4" s="3"/>
      <c r="I4" s="3"/>
      <c r="J4" s="3"/>
      <c r="K4" s="3"/>
      <c r="L4" s="3"/>
      <c r="M4" s="3"/>
      <c r="N4" s="3"/>
    </row>
    <row r="5" spans="1:14" ht="30">
      <c r="A5" s="3"/>
      <c r="B5" s="75" t="s">
        <v>101</v>
      </c>
      <c r="C5" s="75"/>
      <c r="D5" s="75"/>
      <c r="E5" s="75"/>
      <c r="F5" s="75"/>
      <c r="G5" s="75"/>
      <c r="H5" s="75"/>
      <c r="I5" s="75"/>
      <c r="J5" s="75"/>
      <c r="K5" s="75"/>
      <c r="L5" s="75"/>
      <c r="M5" s="75"/>
      <c r="N5" s="3"/>
    </row>
    <row r="6" spans="1:14" ht="65.25" customHeight="1">
      <c r="A6" s="3"/>
      <c r="B6" s="72" t="s">
        <v>104</v>
      </c>
      <c r="C6" s="73"/>
      <c r="D6" s="73"/>
      <c r="E6" s="73"/>
      <c r="F6" s="73"/>
      <c r="G6" s="73"/>
      <c r="H6" s="73"/>
      <c r="I6" s="73"/>
      <c r="J6" s="73"/>
      <c r="K6" s="73"/>
      <c r="L6" s="73"/>
      <c r="M6" s="74"/>
      <c r="N6" s="3"/>
    </row>
    <row r="7" spans="1:14">
      <c r="A7" s="3"/>
      <c r="B7" s="5"/>
      <c r="C7" s="6"/>
      <c r="D7" s="6"/>
      <c r="E7" s="7"/>
      <c r="F7" s="6"/>
      <c r="G7" s="6"/>
      <c r="H7" s="6"/>
      <c r="I7" s="7"/>
      <c r="J7" s="8"/>
      <c r="K7" s="6"/>
      <c r="L7" s="6"/>
      <c r="M7" s="7"/>
      <c r="N7" s="3"/>
    </row>
    <row r="8" spans="1:14">
      <c r="A8" s="3"/>
      <c r="B8" s="12">
        <v>1</v>
      </c>
      <c r="C8" s="4" t="s">
        <v>7</v>
      </c>
      <c r="D8" s="4" t="s">
        <v>8</v>
      </c>
      <c r="E8" s="13"/>
      <c r="F8" s="14">
        <v>9</v>
      </c>
      <c r="G8" s="4" t="s">
        <v>7</v>
      </c>
      <c r="H8" s="4" t="s">
        <v>8</v>
      </c>
      <c r="I8" s="13"/>
      <c r="J8" s="14">
        <v>17</v>
      </c>
      <c r="K8" s="4" t="s">
        <v>7</v>
      </c>
      <c r="L8" s="4" t="s">
        <v>8</v>
      </c>
      <c r="M8" s="13"/>
      <c r="N8" s="3"/>
    </row>
    <row r="9" spans="1:14">
      <c r="A9" s="3"/>
      <c r="B9" s="22" t="s">
        <v>17</v>
      </c>
      <c r="C9" s="21"/>
      <c r="D9" s="21"/>
      <c r="E9" s="16"/>
      <c r="F9" s="20" t="s">
        <v>41</v>
      </c>
      <c r="G9" s="21"/>
      <c r="H9" s="21"/>
      <c r="I9" s="16"/>
      <c r="J9" s="20" t="s">
        <v>73</v>
      </c>
      <c r="K9" s="21"/>
      <c r="L9" s="21">
        <v>1</v>
      </c>
      <c r="M9" s="16"/>
      <c r="N9" s="3"/>
    </row>
    <row r="10" spans="1:14">
      <c r="A10" s="3"/>
      <c r="B10" s="22" t="s">
        <v>18</v>
      </c>
      <c r="C10" s="21"/>
      <c r="D10" s="21">
        <v>1</v>
      </c>
      <c r="E10" s="16"/>
      <c r="F10" s="20" t="s">
        <v>42</v>
      </c>
      <c r="G10" s="21">
        <v>1</v>
      </c>
      <c r="H10" s="21"/>
      <c r="I10" s="16"/>
      <c r="J10" s="20" t="s">
        <v>74</v>
      </c>
      <c r="K10" s="21"/>
      <c r="L10" s="21"/>
      <c r="M10" s="16"/>
      <c r="N10" s="3"/>
    </row>
    <row r="11" spans="1:14">
      <c r="A11" s="3"/>
      <c r="B11" s="22" t="s">
        <v>19</v>
      </c>
      <c r="C11" s="21">
        <v>1</v>
      </c>
      <c r="D11" s="21"/>
      <c r="E11" s="16"/>
      <c r="F11" s="20" t="s">
        <v>43</v>
      </c>
      <c r="G11" s="21"/>
      <c r="H11" s="21"/>
      <c r="I11" s="16"/>
      <c r="J11" s="20" t="s">
        <v>75</v>
      </c>
      <c r="K11" s="21">
        <v>1</v>
      </c>
      <c r="L11" s="21"/>
      <c r="M11" s="16"/>
      <c r="N11" s="3"/>
    </row>
    <row r="12" spans="1:14">
      <c r="A12" s="3"/>
      <c r="B12" s="22" t="s">
        <v>20</v>
      </c>
      <c r="C12" s="21"/>
      <c r="D12" s="21"/>
      <c r="E12" s="16"/>
      <c r="F12" s="20" t="s">
        <v>44</v>
      </c>
      <c r="G12" s="21"/>
      <c r="H12" s="21">
        <v>1</v>
      </c>
      <c r="I12" s="16"/>
      <c r="J12" s="20" t="s">
        <v>11</v>
      </c>
      <c r="K12" s="21"/>
      <c r="L12" s="21"/>
      <c r="M12" s="16"/>
      <c r="N12" s="3"/>
    </row>
    <row r="13" spans="1:14">
      <c r="A13" s="3"/>
      <c r="B13" s="15"/>
      <c r="C13" s="17"/>
      <c r="D13" s="17"/>
      <c r="E13" s="16"/>
      <c r="F13" s="17"/>
      <c r="G13" s="17"/>
      <c r="H13" s="17"/>
      <c r="I13" s="16"/>
      <c r="J13" s="17"/>
      <c r="K13" s="17"/>
      <c r="L13" s="17"/>
      <c r="M13" s="16"/>
      <c r="N13" s="3"/>
    </row>
    <row r="14" spans="1:14">
      <c r="A14" s="3"/>
      <c r="B14" s="12">
        <v>2</v>
      </c>
      <c r="C14" s="4" t="s">
        <v>7</v>
      </c>
      <c r="D14" s="4" t="s">
        <v>8</v>
      </c>
      <c r="E14" s="13"/>
      <c r="F14" s="14">
        <v>10</v>
      </c>
      <c r="G14" s="4" t="s">
        <v>7</v>
      </c>
      <c r="H14" s="4" t="s">
        <v>8</v>
      </c>
      <c r="I14" s="13"/>
      <c r="J14" s="14">
        <v>18</v>
      </c>
      <c r="K14" s="4" t="s">
        <v>7</v>
      </c>
      <c r="L14" s="4" t="s">
        <v>8</v>
      </c>
      <c r="M14" s="13"/>
      <c r="N14" s="3"/>
    </row>
    <row r="15" spans="1:14">
      <c r="A15" s="3"/>
      <c r="B15" s="22" t="s">
        <v>21</v>
      </c>
      <c r="C15" s="21"/>
      <c r="D15" s="21"/>
      <c r="E15" s="16"/>
      <c r="F15" s="20" t="s">
        <v>45</v>
      </c>
      <c r="G15" s="21"/>
      <c r="H15" s="21"/>
      <c r="I15" s="16"/>
      <c r="J15" s="20" t="s">
        <v>76</v>
      </c>
      <c r="K15" s="21">
        <v>1</v>
      </c>
      <c r="L15" s="21"/>
      <c r="M15" s="16"/>
      <c r="N15" s="3"/>
    </row>
    <row r="16" spans="1:14">
      <c r="A16" s="3"/>
      <c r="B16" s="22" t="s">
        <v>22</v>
      </c>
      <c r="C16" s="21">
        <v>1</v>
      </c>
      <c r="D16" s="21"/>
      <c r="E16" s="16"/>
      <c r="F16" s="20" t="s">
        <v>46</v>
      </c>
      <c r="G16" s="21"/>
      <c r="H16" s="21"/>
      <c r="I16" s="16"/>
      <c r="J16" s="20" t="s">
        <v>77</v>
      </c>
      <c r="K16" s="21"/>
      <c r="L16" s="21"/>
      <c r="M16" s="16"/>
      <c r="N16" s="3"/>
    </row>
    <row r="17" spans="1:14">
      <c r="A17" s="3"/>
      <c r="B17" s="22" t="s">
        <v>23</v>
      </c>
      <c r="C17" s="21"/>
      <c r="D17" s="21">
        <v>1</v>
      </c>
      <c r="E17" s="16"/>
      <c r="F17" s="20" t="s">
        <v>47</v>
      </c>
      <c r="G17" s="21">
        <v>1</v>
      </c>
      <c r="H17" s="21"/>
      <c r="I17" s="16"/>
      <c r="J17" s="20" t="s">
        <v>78</v>
      </c>
      <c r="K17" s="21"/>
      <c r="L17" s="21">
        <v>1</v>
      </c>
      <c r="M17" s="16"/>
      <c r="N17" s="3"/>
    </row>
    <row r="18" spans="1:14">
      <c r="A18" s="3"/>
      <c r="B18" s="22" t="s">
        <v>24</v>
      </c>
      <c r="C18" s="21"/>
      <c r="D18" s="21"/>
      <c r="E18" s="16"/>
      <c r="F18" s="20" t="s">
        <v>48</v>
      </c>
      <c r="G18" s="21"/>
      <c r="H18" s="21">
        <v>1</v>
      </c>
      <c r="I18" s="16"/>
      <c r="J18" s="20" t="s">
        <v>79</v>
      </c>
      <c r="K18" s="21"/>
      <c r="L18" s="21"/>
      <c r="M18" s="16"/>
      <c r="N18" s="3"/>
    </row>
    <row r="19" spans="1:14">
      <c r="A19" s="3"/>
      <c r="B19" s="15"/>
      <c r="C19" s="17"/>
      <c r="D19" s="17"/>
      <c r="E19" s="16"/>
      <c r="F19" s="17"/>
      <c r="G19" s="17"/>
      <c r="H19" s="17"/>
      <c r="I19" s="16"/>
      <c r="J19" s="17"/>
      <c r="K19" s="17"/>
      <c r="L19" s="17"/>
      <c r="M19" s="16"/>
      <c r="N19" s="3"/>
    </row>
    <row r="20" spans="1:14">
      <c r="A20" s="3"/>
      <c r="B20" s="12">
        <v>3</v>
      </c>
      <c r="C20" s="4" t="s">
        <v>7</v>
      </c>
      <c r="D20" s="4" t="s">
        <v>8</v>
      </c>
      <c r="E20" s="13"/>
      <c r="F20" s="14">
        <v>11</v>
      </c>
      <c r="G20" s="4" t="s">
        <v>7</v>
      </c>
      <c r="H20" s="4" t="s">
        <v>8</v>
      </c>
      <c r="I20" s="13"/>
      <c r="J20" s="14">
        <v>19</v>
      </c>
      <c r="K20" s="4" t="s">
        <v>7</v>
      </c>
      <c r="L20" s="4" t="s">
        <v>8</v>
      </c>
      <c r="M20" s="13"/>
      <c r="N20" s="3"/>
    </row>
    <row r="21" spans="1:14">
      <c r="A21" s="3"/>
      <c r="B21" s="22" t="s">
        <v>25</v>
      </c>
      <c r="C21" s="21">
        <v>1</v>
      </c>
      <c r="D21" s="21"/>
      <c r="E21" s="16"/>
      <c r="F21" s="20" t="s">
        <v>49</v>
      </c>
      <c r="G21" s="21">
        <v>1</v>
      </c>
      <c r="H21" s="21"/>
      <c r="I21" s="16"/>
      <c r="J21" s="20" t="s">
        <v>80</v>
      </c>
      <c r="K21" s="21"/>
      <c r="L21" s="21"/>
      <c r="M21" s="16"/>
      <c r="N21" s="3"/>
    </row>
    <row r="22" spans="1:14">
      <c r="A22" s="3"/>
      <c r="B22" s="22" t="s">
        <v>26</v>
      </c>
      <c r="C22" s="21"/>
      <c r="D22" s="21">
        <v>1</v>
      </c>
      <c r="E22" s="16"/>
      <c r="F22" s="20" t="s">
        <v>50</v>
      </c>
      <c r="G22" s="21"/>
      <c r="H22" s="21"/>
      <c r="I22" s="16"/>
      <c r="J22" s="20" t="s">
        <v>81</v>
      </c>
      <c r="K22" s="21">
        <v>1</v>
      </c>
      <c r="L22" s="21"/>
      <c r="M22" s="16"/>
      <c r="N22" s="3"/>
    </row>
    <row r="23" spans="1:14">
      <c r="A23" s="3"/>
      <c r="B23" s="22" t="s">
        <v>9</v>
      </c>
      <c r="C23" s="21"/>
      <c r="D23" s="21"/>
      <c r="E23" s="16"/>
      <c r="F23" s="20" t="s">
        <v>51</v>
      </c>
      <c r="G23" s="21"/>
      <c r="H23" s="21">
        <v>1</v>
      </c>
      <c r="I23" s="16"/>
      <c r="J23" s="20" t="s">
        <v>82</v>
      </c>
      <c r="K23" s="21"/>
      <c r="L23" s="21"/>
      <c r="M23" s="16"/>
      <c r="N23" s="3"/>
    </row>
    <row r="24" spans="1:14">
      <c r="A24" s="3"/>
      <c r="B24" s="22" t="s">
        <v>27</v>
      </c>
      <c r="C24" s="21"/>
      <c r="D24" s="21"/>
      <c r="E24" s="16"/>
      <c r="F24" s="20" t="s">
        <v>52</v>
      </c>
      <c r="G24" s="21"/>
      <c r="H24" s="21"/>
      <c r="I24" s="16"/>
      <c r="J24" s="20" t="s">
        <v>83</v>
      </c>
      <c r="K24" s="21"/>
      <c r="L24" s="21">
        <v>1</v>
      </c>
      <c r="M24" s="16"/>
      <c r="N24" s="3"/>
    </row>
    <row r="25" spans="1:14">
      <c r="A25" s="3"/>
      <c r="B25" s="15"/>
      <c r="C25" s="17"/>
      <c r="D25" s="17"/>
      <c r="E25" s="16"/>
      <c r="F25" s="17"/>
      <c r="G25" s="17"/>
      <c r="H25" s="17"/>
      <c r="I25" s="16"/>
      <c r="J25" s="17"/>
      <c r="K25" s="17"/>
      <c r="L25" s="17"/>
      <c r="M25" s="16"/>
      <c r="N25" s="3"/>
    </row>
    <row r="26" spans="1:14">
      <c r="A26" s="3"/>
      <c r="B26" s="12">
        <v>4</v>
      </c>
      <c r="C26" s="4" t="s">
        <v>7</v>
      </c>
      <c r="D26" s="4" t="s">
        <v>8</v>
      </c>
      <c r="E26" s="13"/>
      <c r="F26" s="14">
        <v>12</v>
      </c>
      <c r="G26" s="4" t="s">
        <v>7</v>
      </c>
      <c r="H26" s="4" t="s">
        <v>8</v>
      </c>
      <c r="I26" s="13"/>
      <c r="J26" s="14">
        <v>20</v>
      </c>
      <c r="K26" s="4" t="s">
        <v>7</v>
      </c>
      <c r="L26" s="4" t="s">
        <v>8</v>
      </c>
      <c r="M26" s="13"/>
      <c r="N26" s="3"/>
    </row>
    <row r="27" spans="1:14">
      <c r="A27" s="3"/>
      <c r="B27" s="22" t="s">
        <v>28</v>
      </c>
      <c r="C27" s="21">
        <v>1</v>
      </c>
      <c r="D27" s="21"/>
      <c r="E27" s="16"/>
      <c r="F27" s="20" t="s">
        <v>61</v>
      </c>
      <c r="G27" s="21">
        <v>1</v>
      </c>
      <c r="H27" s="21"/>
      <c r="I27" s="16"/>
      <c r="J27" s="20" t="s">
        <v>84</v>
      </c>
      <c r="K27" s="21">
        <v>1</v>
      </c>
      <c r="L27" s="21"/>
      <c r="M27" s="16"/>
      <c r="N27" s="3"/>
    </row>
    <row r="28" spans="1:14">
      <c r="A28" s="3"/>
      <c r="B28" s="22" t="s">
        <v>15</v>
      </c>
      <c r="C28" s="21"/>
      <c r="D28" s="21"/>
      <c r="E28" s="16"/>
      <c r="F28" s="20" t="s">
        <v>53</v>
      </c>
      <c r="G28" s="21"/>
      <c r="H28" s="21"/>
      <c r="I28" s="16"/>
      <c r="J28" s="20" t="s">
        <v>85</v>
      </c>
      <c r="K28" s="21"/>
      <c r="L28" s="21"/>
      <c r="M28" s="16"/>
      <c r="N28" s="3"/>
    </row>
    <row r="29" spans="1:14">
      <c r="A29" s="3"/>
      <c r="B29" s="22" t="s">
        <v>29</v>
      </c>
      <c r="C29" s="21"/>
      <c r="D29" s="21"/>
      <c r="E29" s="16"/>
      <c r="F29" s="20" t="s">
        <v>100</v>
      </c>
      <c r="G29" s="21"/>
      <c r="H29" s="21">
        <v>1</v>
      </c>
      <c r="I29" s="16"/>
      <c r="J29" s="20" t="s">
        <v>86</v>
      </c>
      <c r="K29" s="21"/>
      <c r="L29" s="21">
        <v>1</v>
      </c>
      <c r="M29" s="16"/>
      <c r="N29" s="3"/>
    </row>
    <row r="30" spans="1:14">
      <c r="A30" s="3"/>
      <c r="B30" s="22" t="s">
        <v>30</v>
      </c>
      <c r="C30" s="21"/>
      <c r="D30" s="21">
        <v>1</v>
      </c>
      <c r="E30" s="16"/>
      <c r="F30" s="20" t="s">
        <v>54</v>
      </c>
      <c r="G30" s="21"/>
      <c r="H30" s="21"/>
      <c r="I30" s="16"/>
      <c r="J30" s="20" t="s">
        <v>87</v>
      </c>
      <c r="K30" s="21"/>
      <c r="L30" s="21"/>
      <c r="M30" s="16"/>
      <c r="N30" s="3"/>
    </row>
    <row r="31" spans="1:14">
      <c r="A31" s="3"/>
      <c r="B31" s="15"/>
      <c r="C31" s="17"/>
      <c r="D31" s="17"/>
      <c r="E31" s="16"/>
      <c r="F31" s="17"/>
      <c r="G31" s="17"/>
      <c r="H31" s="17"/>
      <c r="I31" s="16"/>
      <c r="J31" s="17"/>
      <c r="K31" s="17"/>
      <c r="L31" s="17"/>
      <c r="M31" s="16"/>
      <c r="N31" s="3"/>
    </row>
    <row r="32" spans="1:14">
      <c r="A32" s="3"/>
      <c r="B32" s="12">
        <v>5</v>
      </c>
      <c r="C32" s="4" t="s">
        <v>7</v>
      </c>
      <c r="D32" s="4" t="s">
        <v>8</v>
      </c>
      <c r="E32" s="13"/>
      <c r="F32" s="14">
        <v>13</v>
      </c>
      <c r="G32" s="4" t="s">
        <v>7</v>
      </c>
      <c r="H32" s="4" t="s">
        <v>8</v>
      </c>
      <c r="I32" s="13"/>
      <c r="J32" s="14">
        <v>21</v>
      </c>
      <c r="K32" s="4" t="s">
        <v>7</v>
      </c>
      <c r="L32" s="4" t="s">
        <v>8</v>
      </c>
      <c r="M32" s="13"/>
      <c r="N32" s="3"/>
    </row>
    <row r="33" spans="1:14">
      <c r="A33" s="3"/>
      <c r="B33" s="22" t="s">
        <v>345</v>
      </c>
      <c r="C33" s="21"/>
      <c r="D33" s="21"/>
      <c r="E33" s="16"/>
      <c r="F33" s="20" t="s">
        <v>55</v>
      </c>
      <c r="G33" s="21">
        <v>1</v>
      </c>
      <c r="H33" s="21"/>
      <c r="I33" s="16"/>
      <c r="J33" s="20" t="s">
        <v>88</v>
      </c>
      <c r="K33" s="21"/>
      <c r="L33" s="21"/>
      <c r="M33" s="16"/>
      <c r="N33" s="3"/>
    </row>
    <row r="34" spans="1:14">
      <c r="A34" s="3"/>
      <c r="B34" s="22" t="s">
        <v>346</v>
      </c>
      <c r="C34" s="21"/>
      <c r="D34" s="21">
        <v>1</v>
      </c>
      <c r="E34" s="16"/>
      <c r="F34" s="20" t="s">
        <v>56</v>
      </c>
      <c r="G34" s="21"/>
      <c r="H34" s="21"/>
      <c r="I34" s="16"/>
      <c r="J34" s="20" t="s">
        <v>89</v>
      </c>
      <c r="K34" s="21"/>
      <c r="L34" s="21"/>
      <c r="M34" s="16"/>
      <c r="N34" s="3"/>
    </row>
    <row r="35" spans="1:14">
      <c r="A35" s="3"/>
      <c r="B35" s="22" t="s">
        <v>31</v>
      </c>
      <c r="C35" s="21">
        <v>1</v>
      </c>
      <c r="D35" s="21"/>
      <c r="E35" s="16"/>
      <c r="F35" s="20" t="s">
        <v>57</v>
      </c>
      <c r="G35" s="21"/>
      <c r="H35" s="21"/>
      <c r="I35" s="16"/>
      <c r="J35" s="20" t="s">
        <v>90</v>
      </c>
      <c r="K35" s="21">
        <v>1</v>
      </c>
      <c r="L35" s="21"/>
      <c r="M35" s="16"/>
      <c r="N35" s="3"/>
    </row>
    <row r="36" spans="1:14">
      <c r="A36" s="3"/>
      <c r="B36" s="22" t="s">
        <v>32</v>
      </c>
      <c r="C36" s="21"/>
      <c r="D36" s="21"/>
      <c r="E36" s="16"/>
      <c r="F36" s="20" t="s">
        <v>58</v>
      </c>
      <c r="G36" s="21"/>
      <c r="H36" s="21">
        <v>1</v>
      </c>
      <c r="I36" s="16"/>
      <c r="J36" s="20" t="s">
        <v>91</v>
      </c>
      <c r="K36" s="21"/>
      <c r="L36" s="21">
        <v>1</v>
      </c>
      <c r="M36" s="16"/>
      <c r="N36" s="3"/>
    </row>
    <row r="37" spans="1:14">
      <c r="A37" s="3"/>
      <c r="B37" s="15"/>
      <c r="C37" s="17"/>
      <c r="D37" s="17"/>
      <c r="E37" s="16"/>
      <c r="F37" s="17"/>
      <c r="G37" s="17"/>
      <c r="H37" s="17"/>
      <c r="I37" s="16"/>
      <c r="J37" s="17"/>
      <c r="K37" s="17"/>
      <c r="L37" s="17"/>
      <c r="M37" s="16"/>
      <c r="N37" s="3"/>
    </row>
    <row r="38" spans="1:14">
      <c r="A38" s="3"/>
      <c r="B38" s="12">
        <v>6</v>
      </c>
      <c r="C38" s="4" t="s">
        <v>7</v>
      </c>
      <c r="D38" s="4" t="s">
        <v>8</v>
      </c>
      <c r="E38" s="13"/>
      <c r="F38" s="14">
        <v>14</v>
      </c>
      <c r="G38" s="4" t="s">
        <v>7</v>
      </c>
      <c r="H38" s="4" t="s">
        <v>8</v>
      </c>
      <c r="I38" s="13"/>
      <c r="J38" s="14">
        <v>22</v>
      </c>
      <c r="K38" s="4" t="s">
        <v>7</v>
      </c>
      <c r="L38" s="4" t="s">
        <v>8</v>
      </c>
      <c r="M38" s="13"/>
      <c r="N38" s="3"/>
    </row>
    <row r="39" spans="1:14">
      <c r="A39" s="3"/>
      <c r="B39" s="22" t="s">
        <v>33</v>
      </c>
      <c r="C39" s="21"/>
      <c r="D39" s="21"/>
      <c r="E39" s="16"/>
      <c r="F39" s="20" t="s">
        <v>59</v>
      </c>
      <c r="G39" s="21"/>
      <c r="H39" s="21">
        <v>1</v>
      </c>
      <c r="I39" s="16"/>
      <c r="J39" s="20" t="s">
        <v>92</v>
      </c>
      <c r="K39" s="21"/>
      <c r="L39" s="21">
        <v>1</v>
      </c>
      <c r="M39" s="16"/>
      <c r="N39" s="3"/>
    </row>
    <row r="40" spans="1:14">
      <c r="A40" s="3"/>
      <c r="B40" s="22" t="s">
        <v>13</v>
      </c>
      <c r="C40" s="21">
        <v>1</v>
      </c>
      <c r="D40" s="21"/>
      <c r="E40" s="16"/>
      <c r="F40" s="20" t="s">
        <v>62</v>
      </c>
      <c r="G40" s="21">
        <v>1</v>
      </c>
      <c r="H40" s="21"/>
      <c r="I40" s="16"/>
      <c r="J40" s="20" t="s">
        <v>93</v>
      </c>
      <c r="K40" s="21"/>
      <c r="L40" s="21"/>
      <c r="M40" s="16"/>
      <c r="N40" s="3"/>
    </row>
    <row r="41" spans="1:14">
      <c r="A41" s="3"/>
      <c r="B41" s="22" t="s">
        <v>12</v>
      </c>
      <c r="C41" s="21"/>
      <c r="D41" s="21"/>
      <c r="E41" s="16"/>
      <c r="F41" s="20" t="s">
        <v>63</v>
      </c>
      <c r="G41" s="21"/>
      <c r="H41" s="21"/>
      <c r="I41" s="16"/>
      <c r="J41" s="20" t="s">
        <v>94</v>
      </c>
      <c r="K41" s="21"/>
      <c r="L41" s="21"/>
      <c r="M41" s="16"/>
      <c r="N41" s="3"/>
    </row>
    <row r="42" spans="1:14">
      <c r="A42" s="3"/>
      <c r="B42" s="22" t="s">
        <v>34</v>
      </c>
      <c r="C42" s="21"/>
      <c r="D42" s="21">
        <v>1</v>
      </c>
      <c r="E42" s="16"/>
      <c r="F42" s="20" t="s">
        <v>64</v>
      </c>
      <c r="G42" s="21"/>
      <c r="H42" s="21"/>
      <c r="I42" s="16"/>
      <c r="J42" s="20" t="s">
        <v>28</v>
      </c>
      <c r="K42" s="21">
        <v>1</v>
      </c>
      <c r="L42" s="21"/>
      <c r="M42" s="16"/>
      <c r="N42" s="3"/>
    </row>
    <row r="43" spans="1:14">
      <c r="A43" s="3"/>
      <c r="B43" s="15"/>
      <c r="C43" s="17"/>
      <c r="D43" s="17"/>
      <c r="E43" s="16"/>
      <c r="F43" s="17"/>
      <c r="G43" s="17"/>
      <c r="H43" s="17"/>
      <c r="I43" s="16"/>
      <c r="J43" s="17"/>
      <c r="K43" s="17"/>
      <c r="L43" s="17"/>
      <c r="M43" s="16"/>
      <c r="N43" s="3"/>
    </row>
    <row r="44" spans="1:14">
      <c r="A44" s="3"/>
      <c r="B44" s="12">
        <v>7</v>
      </c>
      <c r="C44" s="4" t="s">
        <v>7</v>
      </c>
      <c r="D44" s="4" t="s">
        <v>8</v>
      </c>
      <c r="E44" s="13"/>
      <c r="F44" s="14">
        <v>15</v>
      </c>
      <c r="G44" s="4" t="s">
        <v>7</v>
      </c>
      <c r="H44" s="4" t="s">
        <v>8</v>
      </c>
      <c r="I44" s="13"/>
      <c r="J44" s="14">
        <v>23</v>
      </c>
      <c r="K44" s="4" t="s">
        <v>7</v>
      </c>
      <c r="L44" s="4" t="s">
        <v>8</v>
      </c>
      <c r="M44" s="13"/>
      <c r="N44" s="3"/>
    </row>
    <row r="45" spans="1:14">
      <c r="A45" s="3"/>
      <c r="B45" s="22" t="s">
        <v>60</v>
      </c>
      <c r="C45" s="21">
        <v>1</v>
      </c>
      <c r="D45" s="21"/>
      <c r="E45" s="16"/>
      <c r="F45" s="20" t="s">
        <v>65</v>
      </c>
      <c r="G45" s="21">
        <v>1</v>
      </c>
      <c r="H45" s="21"/>
      <c r="I45" s="16"/>
      <c r="J45" s="20" t="s">
        <v>95</v>
      </c>
      <c r="K45" s="21">
        <v>1</v>
      </c>
      <c r="L45" s="21"/>
      <c r="M45" s="16"/>
      <c r="N45" s="3"/>
    </row>
    <row r="46" spans="1:14">
      <c r="A46" s="3"/>
      <c r="B46" s="22" t="s">
        <v>35</v>
      </c>
      <c r="C46" s="21"/>
      <c r="D46" s="21"/>
      <c r="E46" s="16"/>
      <c r="F46" s="20" t="s">
        <v>66</v>
      </c>
      <c r="G46" s="21"/>
      <c r="H46" s="21"/>
      <c r="I46" s="16"/>
      <c r="J46" s="20" t="s">
        <v>10</v>
      </c>
      <c r="K46" s="21"/>
      <c r="L46" s="21"/>
      <c r="M46" s="16"/>
      <c r="N46" s="3"/>
    </row>
    <row r="47" spans="1:14">
      <c r="A47" s="3"/>
      <c r="B47" s="22" t="s">
        <v>36</v>
      </c>
      <c r="C47" s="21"/>
      <c r="D47" s="21">
        <v>1</v>
      </c>
      <c r="E47" s="16"/>
      <c r="F47" s="20" t="s">
        <v>67</v>
      </c>
      <c r="G47" s="21"/>
      <c r="H47" s="21"/>
      <c r="I47" s="16"/>
      <c r="J47" s="20" t="s">
        <v>96</v>
      </c>
      <c r="K47" s="21"/>
      <c r="L47" s="21">
        <v>1</v>
      </c>
      <c r="M47" s="16"/>
      <c r="N47" s="3"/>
    </row>
    <row r="48" spans="1:14">
      <c r="A48" s="3"/>
      <c r="B48" s="22" t="s">
        <v>37</v>
      </c>
      <c r="C48" s="21"/>
      <c r="D48" s="21"/>
      <c r="E48" s="16"/>
      <c r="F48" s="20" t="s">
        <v>68</v>
      </c>
      <c r="G48" s="21"/>
      <c r="H48" s="21">
        <v>1</v>
      </c>
      <c r="I48" s="16"/>
      <c r="J48" s="20" t="s">
        <v>97</v>
      </c>
      <c r="K48" s="21"/>
      <c r="L48" s="21"/>
      <c r="M48" s="16"/>
      <c r="N48" s="3"/>
    </row>
    <row r="49" spans="1:14">
      <c r="A49" s="3"/>
      <c r="B49" s="15"/>
      <c r="C49" s="17"/>
      <c r="D49" s="17"/>
      <c r="E49" s="16"/>
      <c r="F49" s="17"/>
      <c r="G49" s="17"/>
      <c r="H49" s="17"/>
      <c r="I49" s="16"/>
      <c r="J49" s="17"/>
      <c r="K49" s="17"/>
      <c r="L49" s="17"/>
      <c r="M49" s="16"/>
      <c r="N49" s="3"/>
    </row>
    <row r="50" spans="1:14">
      <c r="A50" s="3"/>
      <c r="B50" s="12">
        <v>8</v>
      </c>
      <c r="C50" s="4" t="s">
        <v>7</v>
      </c>
      <c r="D50" s="4" t="s">
        <v>8</v>
      </c>
      <c r="E50" s="16"/>
      <c r="F50" s="14">
        <v>16</v>
      </c>
      <c r="G50" s="4" t="s">
        <v>7</v>
      </c>
      <c r="H50" s="4" t="s">
        <v>8</v>
      </c>
      <c r="I50" s="16"/>
      <c r="J50" s="14">
        <v>24</v>
      </c>
      <c r="K50" s="4" t="s">
        <v>7</v>
      </c>
      <c r="L50" s="4" t="s">
        <v>8</v>
      </c>
      <c r="M50" s="16"/>
      <c r="N50" s="3"/>
    </row>
    <row r="51" spans="1:14">
      <c r="A51" s="3"/>
      <c r="B51" s="22" t="s">
        <v>38</v>
      </c>
      <c r="C51" s="21">
        <v>1</v>
      </c>
      <c r="D51" s="21"/>
      <c r="E51" s="16"/>
      <c r="F51" s="20" t="s">
        <v>69</v>
      </c>
      <c r="G51" s="21"/>
      <c r="H51" s="21"/>
      <c r="I51" s="16"/>
      <c r="J51" s="20" t="s">
        <v>98</v>
      </c>
      <c r="K51" s="21"/>
      <c r="L51" s="21">
        <v>1</v>
      </c>
      <c r="M51" s="16"/>
      <c r="N51" s="3"/>
    </row>
    <row r="52" spans="1:14">
      <c r="A52" s="3"/>
      <c r="B52" s="22" t="s">
        <v>39</v>
      </c>
      <c r="C52" s="21"/>
      <c r="D52" s="21"/>
      <c r="E52" s="16"/>
      <c r="F52" s="20" t="s">
        <v>70</v>
      </c>
      <c r="G52" s="21">
        <v>1</v>
      </c>
      <c r="H52" s="21"/>
      <c r="I52" s="16"/>
      <c r="J52" s="20" t="s">
        <v>347</v>
      </c>
      <c r="K52" s="21"/>
      <c r="L52" s="21"/>
      <c r="M52" s="16"/>
      <c r="N52" s="3"/>
    </row>
    <row r="53" spans="1:14">
      <c r="A53" s="3"/>
      <c r="B53" s="22" t="s">
        <v>40</v>
      </c>
      <c r="C53" s="21"/>
      <c r="D53" s="21">
        <v>1</v>
      </c>
      <c r="E53" s="16"/>
      <c r="F53" s="20" t="s">
        <v>71</v>
      </c>
      <c r="G53" s="21"/>
      <c r="H53" s="21"/>
      <c r="I53" s="16"/>
      <c r="J53" s="20" t="s">
        <v>99</v>
      </c>
      <c r="K53" s="21">
        <v>1</v>
      </c>
      <c r="L53" s="21"/>
      <c r="M53" s="16"/>
      <c r="N53" s="3"/>
    </row>
    <row r="54" spans="1:14">
      <c r="A54" s="3"/>
      <c r="B54" s="22" t="s">
        <v>16</v>
      </c>
      <c r="C54" s="21"/>
      <c r="D54" s="21"/>
      <c r="E54" s="16"/>
      <c r="F54" s="20" t="s">
        <v>72</v>
      </c>
      <c r="G54" s="21"/>
      <c r="H54" s="21">
        <v>1</v>
      </c>
      <c r="I54" s="16"/>
      <c r="J54" s="20" t="s">
        <v>14</v>
      </c>
      <c r="K54" s="21"/>
      <c r="L54" s="21"/>
      <c r="M54" s="16"/>
      <c r="N54" s="3"/>
    </row>
    <row r="55" spans="1:14">
      <c r="A55" s="3"/>
      <c r="B55" s="9"/>
      <c r="C55" s="10"/>
      <c r="D55" s="10"/>
      <c r="E55" s="11"/>
      <c r="F55" s="10"/>
      <c r="G55" s="10"/>
      <c r="H55" s="10"/>
      <c r="I55" s="11"/>
      <c r="J55" s="10"/>
      <c r="K55" s="10"/>
      <c r="L55" s="10"/>
      <c r="M55" s="11"/>
      <c r="N55" s="3"/>
    </row>
    <row r="56" spans="1:14" ht="7.5" customHeight="1">
      <c r="A56" s="3"/>
      <c r="B56" s="3"/>
      <c r="C56" s="3"/>
      <c r="D56" s="3"/>
      <c r="E56" s="3"/>
      <c r="F56" s="3"/>
      <c r="G56" s="3"/>
      <c r="H56" s="3"/>
      <c r="I56" s="3"/>
      <c r="J56" s="3"/>
      <c r="K56" s="3"/>
      <c r="L56" s="3"/>
      <c r="M56" s="3"/>
      <c r="N56" s="3"/>
    </row>
  </sheetData>
  <sheetProtection selectLockedCells="1"/>
  <mergeCells count="4">
    <mergeCell ref="B6:M6"/>
    <mergeCell ref="B5:M5"/>
    <mergeCell ref="C2:M2"/>
    <mergeCell ref="C3:M3"/>
  </mergeCells>
  <conditionalFormatting sqref="K9:L12">
    <cfRule type="iconSet" priority="41">
      <iconSet iconSet="3Symbols" showValue="0">
        <cfvo type="percent" val="0"/>
        <cfvo type="num" val="0"/>
        <cfvo type="num" val="1"/>
      </iconSet>
    </cfRule>
  </conditionalFormatting>
  <conditionalFormatting sqref="G9:H12">
    <cfRule type="iconSet" priority="40">
      <iconSet iconSet="3Symbols" showValue="0">
        <cfvo type="percent" val="0"/>
        <cfvo type="num" val="0"/>
        <cfvo type="num" val="1"/>
      </iconSet>
    </cfRule>
  </conditionalFormatting>
  <conditionalFormatting sqref="C9:D12">
    <cfRule type="iconSet" priority="39">
      <iconSet iconSet="3Symbols" showValue="0">
        <cfvo type="percent" val="0"/>
        <cfvo type="num" val="0"/>
        <cfvo type="num" val="1"/>
      </iconSet>
    </cfRule>
  </conditionalFormatting>
  <conditionalFormatting sqref="C15:D18">
    <cfRule type="iconSet" priority="38">
      <iconSet iconSet="3Symbols" showValue="0">
        <cfvo type="percent" val="0"/>
        <cfvo type="num" val="0"/>
        <cfvo type="num" val="1"/>
      </iconSet>
    </cfRule>
  </conditionalFormatting>
  <conditionalFormatting sqref="C21:D24">
    <cfRule type="iconSet" priority="37">
      <iconSet iconSet="3Symbols" showValue="0">
        <cfvo type="percent" val="0"/>
        <cfvo type="num" val="0"/>
        <cfvo type="num" val="1"/>
      </iconSet>
    </cfRule>
  </conditionalFormatting>
  <conditionalFormatting sqref="C27:D30">
    <cfRule type="iconSet" priority="36">
      <iconSet iconSet="3Symbols" showValue="0">
        <cfvo type="percent" val="0"/>
        <cfvo type="num" val="0"/>
        <cfvo type="num" val="1"/>
      </iconSet>
    </cfRule>
  </conditionalFormatting>
  <conditionalFormatting sqref="C33:D36">
    <cfRule type="iconSet" priority="35">
      <iconSet iconSet="3Symbols" showValue="0">
        <cfvo type="percent" val="0"/>
        <cfvo type="num" val="0"/>
        <cfvo type="num" val="1"/>
      </iconSet>
    </cfRule>
  </conditionalFormatting>
  <conditionalFormatting sqref="C39:D42">
    <cfRule type="iconSet" priority="34">
      <iconSet iconSet="3Symbols" showValue="0">
        <cfvo type="percent" val="0"/>
        <cfvo type="num" val="0"/>
        <cfvo type="num" val="1"/>
      </iconSet>
    </cfRule>
  </conditionalFormatting>
  <conditionalFormatting sqref="C45:D48">
    <cfRule type="iconSet" priority="33">
      <iconSet iconSet="3Symbols" showValue="0">
        <cfvo type="percent" val="0"/>
        <cfvo type="num" val="0"/>
        <cfvo type="num" val="1"/>
      </iconSet>
    </cfRule>
  </conditionalFormatting>
  <conditionalFormatting sqref="C51:D54">
    <cfRule type="iconSet" priority="32">
      <iconSet iconSet="3Symbols" showValue="0">
        <cfvo type="percent" val="0"/>
        <cfvo type="num" val="0"/>
        <cfvo type="num" val="1"/>
      </iconSet>
    </cfRule>
  </conditionalFormatting>
  <conditionalFormatting sqref="G51:H54">
    <cfRule type="iconSet" priority="31">
      <iconSet iconSet="3Symbols" showValue="0">
        <cfvo type="percent" val="0"/>
        <cfvo type="num" val="0"/>
        <cfvo type="num" val="1"/>
      </iconSet>
    </cfRule>
  </conditionalFormatting>
  <conditionalFormatting sqref="G45:H48">
    <cfRule type="iconSet" priority="30">
      <iconSet iconSet="3Symbols" showValue="0">
        <cfvo type="percent" val="0"/>
        <cfvo type="num" val="0"/>
        <cfvo type="num" val="1"/>
      </iconSet>
    </cfRule>
  </conditionalFormatting>
  <conditionalFormatting sqref="G39:H42">
    <cfRule type="iconSet" priority="29">
      <iconSet iconSet="3Symbols" showValue="0">
        <cfvo type="percent" val="0"/>
        <cfvo type="num" val="0"/>
        <cfvo type="num" val="1"/>
      </iconSet>
    </cfRule>
  </conditionalFormatting>
  <conditionalFormatting sqref="G33:H36">
    <cfRule type="iconSet" priority="28">
      <iconSet iconSet="3Symbols" showValue="0">
        <cfvo type="percent" val="0"/>
        <cfvo type="num" val="0"/>
        <cfvo type="num" val="1"/>
      </iconSet>
    </cfRule>
  </conditionalFormatting>
  <conditionalFormatting sqref="G27:H30">
    <cfRule type="iconSet" priority="27">
      <iconSet iconSet="3Symbols" showValue="0">
        <cfvo type="percent" val="0"/>
        <cfvo type="num" val="0"/>
        <cfvo type="num" val="1"/>
      </iconSet>
    </cfRule>
  </conditionalFormatting>
  <conditionalFormatting sqref="G21:H24">
    <cfRule type="iconSet" priority="26">
      <iconSet iconSet="3Symbols" showValue="0">
        <cfvo type="percent" val="0"/>
        <cfvo type="num" val="0"/>
        <cfvo type="num" val="1"/>
      </iconSet>
    </cfRule>
  </conditionalFormatting>
  <conditionalFormatting sqref="G15:H18">
    <cfRule type="iconSet" priority="25">
      <iconSet iconSet="3Symbols" showValue="0">
        <cfvo type="percent" val="0"/>
        <cfvo type="num" val="0"/>
        <cfvo type="num" val="1"/>
      </iconSet>
    </cfRule>
  </conditionalFormatting>
  <conditionalFormatting sqref="G9:H12">
    <cfRule type="iconSet" priority="24">
      <iconSet iconSet="3Symbols" showValue="0">
        <cfvo type="percent" val="0"/>
        <cfvo type="num" val="0"/>
        <cfvo type="num" val="1"/>
      </iconSet>
    </cfRule>
  </conditionalFormatting>
  <conditionalFormatting sqref="K9:L12">
    <cfRule type="iconSet" priority="23">
      <iconSet iconSet="3Symbols" showValue="0">
        <cfvo type="percent" val="0"/>
        <cfvo type="num" val="0"/>
        <cfvo type="num" val="1"/>
      </iconSet>
    </cfRule>
  </conditionalFormatting>
  <conditionalFormatting sqref="K9:L12">
    <cfRule type="iconSet" priority="22">
      <iconSet iconSet="3Symbols" showValue="0">
        <cfvo type="percent" val="0"/>
        <cfvo type="num" val="0"/>
        <cfvo type="num" val="1"/>
      </iconSet>
    </cfRule>
  </conditionalFormatting>
  <conditionalFormatting sqref="K15:L18">
    <cfRule type="iconSet" priority="21">
      <iconSet iconSet="3Symbols" showValue="0">
        <cfvo type="percent" val="0"/>
        <cfvo type="num" val="0"/>
        <cfvo type="num" val="1"/>
      </iconSet>
    </cfRule>
  </conditionalFormatting>
  <conditionalFormatting sqref="K15:L18">
    <cfRule type="iconSet" priority="20">
      <iconSet iconSet="3Symbols" showValue="0">
        <cfvo type="percent" val="0"/>
        <cfvo type="num" val="0"/>
        <cfvo type="num" val="1"/>
      </iconSet>
    </cfRule>
  </conditionalFormatting>
  <conditionalFormatting sqref="K15:L18">
    <cfRule type="iconSet" priority="19">
      <iconSet iconSet="3Symbols" showValue="0">
        <cfvo type="percent" val="0"/>
        <cfvo type="num" val="0"/>
        <cfvo type="num" val="1"/>
      </iconSet>
    </cfRule>
  </conditionalFormatting>
  <conditionalFormatting sqref="K21:L24">
    <cfRule type="iconSet" priority="18">
      <iconSet iconSet="3Symbols" showValue="0">
        <cfvo type="percent" val="0"/>
        <cfvo type="num" val="0"/>
        <cfvo type="num" val="1"/>
      </iconSet>
    </cfRule>
  </conditionalFormatting>
  <conditionalFormatting sqref="K21:L24">
    <cfRule type="iconSet" priority="17">
      <iconSet iconSet="3Symbols" showValue="0">
        <cfvo type="percent" val="0"/>
        <cfvo type="num" val="0"/>
        <cfvo type="num" val="1"/>
      </iconSet>
    </cfRule>
  </conditionalFormatting>
  <conditionalFormatting sqref="K21:L24">
    <cfRule type="iconSet" priority="16">
      <iconSet iconSet="3Symbols" showValue="0">
        <cfvo type="percent" val="0"/>
        <cfvo type="num" val="0"/>
        <cfvo type="num" val="1"/>
      </iconSet>
    </cfRule>
  </conditionalFormatting>
  <conditionalFormatting sqref="K27:L30">
    <cfRule type="iconSet" priority="15">
      <iconSet iconSet="3Symbols" showValue="0">
        <cfvo type="percent" val="0"/>
        <cfvo type="num" val="0"/>
        <cfvo type="num" val="1"/>
      </iconSet>
    </cfRule>
  </conditionalFormatting>
  <conditionalFormatting sqref="K27:L30">
    <cfRule type="iconSet" priority="14">
      <iconSet iconSet="3Symbols" showValue="0">
        <cfvo type="percent" val="0"/>
        <cfvo type="num" val="0"/>
        <cfvo type="num" val="1"/>
      </iconSet>
    </cfRule>
  </conditionalFormatting>
  <conditionalFormatting sqref="K27:L30">
    <cfRule type="iconSet" priority="13">
      <iconSet iconSet="3Symbols" showValue="0">
        <cfvo type="percent" val="0"/>
        <cfvo type="num" val="0"/>
        <cfvo type="num" val="1"/>
      </iconSet>
    </cfRule>
  </conditionalFormatting>
  <conditionalFormatting sqref="K33:L36">
    <cfRule type="iconSet" priority="12">
      <iconSet iconSet="3Symbols" showValue="0">
        <cfvo type="percent" val="0"/>
        <cfvo type="num" val="0"/>
        <cfvo type="num" val="1"/>
      </iconSet>
    </cfRule>
  </conditionalFormatting>
  <conditionalFormatting sqref="K33:L36">
    <cfRule type="iconSet" priority="11">
      <iconSet iconSet="3Symbols" showValue="0">
        <cfvo type="percent" val="0"/>
        <cfvo type="num" val="0"/>
        <cfvo type="num" val="1"/>
      </iconSet>
    </cfRule>
  </conditionalFormatting>
  <conditionalFormatting sqref="K33:L36">
    <cfRule type="iconSet" priority="10">
      <iconSet iconSet="3Symbols" showValue="0">
        <cfvo type="percent" val="0"/>
        <cfvo type="num" val="0"/>
        <cfvo type="num" val="1"/>
      </iconSet>
    </cfRule>
  </conditionalFormatting>
  <conditionalFormatting sqref="K39:L42">
    <cfRule type="iconSet" priority="9">
      <iconSet iconSet="3Symbols" showValue="0">
        <cfvo type="percent" val="0"/>
        <cfvo type="num" val="0"/>
        <cfvo type="num" val="1"/>
      </iconSet>
    </cfRule>
  </conditionalFormatting>
  <conditionalFormatting sqref="K39:L42">
    <cfRule type="iconSet" priority="8">
      <iconSet iconSet="3Symbols" showValue="0">
        <cfvo type="percent" val="0"/>
        <cfvo type="num" val="0"/>
        <cfvo type="num" val="1"/>
      </iconSet>
    </cfRule>
  </conditionalFormatting>
  <conditionalFormatting sqref="K39:L42">
    <cfRule type="iconSet" priority="7">
      <iconSet iconSet="3Symbols" showValue="0">
        <cfvo type="percent" val="0"/>
        <cfvo type="num" val="0"/>
        <cfvo type="num" val="1"/>
      </iconSet>
    </cfRule>
  </conditionalFormatting>
  <conditionalFormatting sqref="K45:L48">
    <cfRule type="iconSet" priority="6">
      <iconSet iconSet="3Symbols" showValue="0">
        <cfvo type="percent" val="0"/>
        <cfvo type="num" val="0"/>
        <cfvo type="num" val="1"/>
      </iconSet>
    </cfRule>
  </conditionalFormatting>
  <conditionalFormatting sqref="K45:L48">
    <cfRule type="iconSet" priority="5">
      <iconSet iconSet="3Symbols" showValue="0">
        <cfvo type="percent" val="0"/>
        <cfvo type="num" val="0"/>
        <cfvo type="num" val="1"/>
      </iconSet>
    </cfRule>
  </conditionalFormatting>
  <conditionalFormatting sqref="K45:L48">
    <cfRule type="iconSet" priority="4">
      <iconSet iconSet="3Symbols" showValue="0">
        <cfvo type="percent" val="0"/>
        <cfvo type="num" val="0"/>
        <cfvo type="num" val="1"/>
      </iconSet>
    </cfRule>
  </conditionalFormatting>
  <conditionalFormatting sqref="K51:L54">
    <cfRule type="iconSet" priority="3">
      <iconSet iconSet="3Symbols" showValue="0">
        <cfvo type="percent" val="0"/>
        <cfvo type="num" val="0"/>
        <cfvo type="num" val="1"/>
      </iconSet>
    </cfRule>
  </conditionalFormatting>
  <conditionalFormatting sqref="K51:L54">
    <cfRule type="iconSet" priority="2">
      <iconSet iconSet="3Symbols" showValue="0">
        <cfvo type="percent" val="0"/>
        <cfvo type="num" val="0"/>
        <cfvo type="num" val="1"/>
      </iconSet>
    </cfRule>
  </conditionalFormatting>
  <conditionalFormatting sqref="K51:L54">
    <cfRule type="iconSet" priority="1">
      <iconSet iconSet="3Symbols" showValue="0">
        <cfvo type="percent" val="0"/>
        <cfvo type="num" val="0"/>
        <cfvo type="num" val="1"/>
      </iconSet>
    </cfRule>
  </conditionalFormatting>
  <pageMargins left="0.39370078740157483" right="0.23622047244094491" top="0.74803149606299213" bottom="0.51181102362204722" header="0" footer="0"/>
  <pageSetup paperSize="9" orientation="portrait" r:id="rId1"/>
  <drawing r:id="rId2"/>
  <legacyDrawing r:id="rId3"/>
  <controls>
    <mc:AlternateContent xmlns:mc="http://schemas.openxmlformats.org/markup-compatibility/2006">
      <mc:Choice Requires="x14">
        <control shapeId="2049" r:id="rId4" name="cmb_limpiar">
          <controlPr defaultSize="0" autoLine="0" r:id="rId5">
            <anchor moveWithCells="1">
              <from>
                <xdr:col>9</xdr:col>
                <xdr:colOff>657225</xdr:colOff>
                <xdr:row>4</xdr:row>
                <xdr:rowOff>57150</xdr:rowOff>
              </from>
              <to>
                <xdr:col>11</xdr:col>
                <xdr:colOff>228600</xdr:colOff>
                <xdr:row>4</xdr:row>
                <xdr:rowOff>361950</xdr:rowOff>
              </to>
            </anchor>
          </controlPr>
        </control>
      </mc:Choice>
      <mc:Fallback>
        <control shapeId="2049" r:id="rId4" name="cmb_limpi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S2756"/>
  <sheetViews>
    <sheetView topLeftCell="A4" zoomScaleNormal="100" zoomScaleSheetLayoutView="110" workbookViewId="0">
      <selection activeCell="K31" sqref="K31"/>
    </sheetView>
  </sheetViews>
  <sheetFormatPr baseColWidth="10" defaultColWidth="11.42578125" defaultRowHeight="12.75"/>
  <cols>
    <col min="1" max="1" width="2.140625" style="1" customWidth="1"/>
    <col min="2" max="2" width="8.7109375" style="1" customWidth="1"/>
    <col min="3" max="3" width="10.28515625" style="1" customWidth="1"/>
    <col min="4" max="5" width="9.28515625" style="1" customWidth="1"/>
    <col min="6" max="6" width="9.140625" style="1" customWidth="1"/>
    <col min="7" max="7" width="9.28515625" style="1" customWidth="1"/>
    <col min="8" max="8" width="12.5703125" style="1" customWidth="1"/>
    <col min="9" max="9" width="9.28515625" style="1" customWidth="1"/>
    <col min="10" max="10" width="7.85546875" style="1" customWidth="1"/>
    <col min="11" max="15" width="9.28515625" style="1" customWidth="1"/>
    <col min="16" max="16384" width="11.42578125" style="1"/>
  </cols>
  <sheetData>
    <row r="1" spans="2:14" ht="12.75" customHeight="1"/>
    <row r="2" spans="2:14" ht="12.75" customHeight="1">
      <c r="B2" s="1" t="s">
        <v>159</v>
      </c>
      <c r="C2" s="79" t="str">
        <f>Registro!C2</f>
        <v>Bryan Danilo Rauda Marquez</v>
      </c>
      <c r="D2" s="79"/>
      <c r="E2" s="79"/>
      <c r="F2" s="79"/>
      <c r="G2" s="79"/>
    </row>
    <row r="3" spans="2:14" ht="12.75" customHeight="1">
      <c r="B3" s="1" t="s">
        <v>160</v>
      </c>
      <c r="C3" s="80">
        <f>Registro!C3</f>
        <v>44877</v>
      </c>
      <c r="D3" s="80"/>
      <c r="E3" s="80"/>
      <c r="F3" s="80"/>
      <c r="G3" s="80"/>
    </row>
    <row r="4" spans="2:14" ht="12.75" customHeight="1">
      <c r="C4" s="32"/>
      <c r="D4" s="32"/>
      <c r="E4" s="32"/>
      <c r="F4" s="32"/>
      <c r="G4" s="32"/>
    </row>
    <row r="5" spans="2:14" ht="12.75" customHeight="1">
      <c r="B5" s="81" t="s">
        <v>101</v>
      </c>
      <c r="C5" s="81"/>
      <c r="D5" s="81"/>
      <c r="E5" s="81"/>
      <c r="F5" s="81"/>
      <c r="G5" s="81"/>
      <c r="H5" s="81"/>
      <c r="I5" s="81"/>
      <c r="J5" s="81"/>
    </row>
    <row r="6" spans="2:14" ht="12.75" customHeight="1">
      <c r="B6" s="81"/>
      <c r="C6" s="81"/>
      <c r="D6" s="81"/>
      <c r="E6" s="81"/>
      <c r="F6" s="81"/>
      <c r="G6" s="81"/>
      <c r="H6" s="81"/>
      <c r="I6" s="81"/>
      <c r="J6" s="81"/>
    </row>
    <row r="7" spans="2:14" ht="3.75" customHeight="1"/>
    <row r="8" spans="2:14" ht="12.75" customHeight="1"/>
    <row r="15" spans="2:14">
      <c r="L15" s="19"/>
      <c r="M15" s="19"/>
      <c r="N15" s="19"/>
    </row>
    <row r="26" spans="2:19" ht="6" customHeight="1"/>
    <row r="27" spans="2:19" ht="6" customHeight="1"/>
    <row r="28" spans="2:19" ht="6" customHeight="1"/>
    <row r="29" spans="2:19" ht="15" customHeight="1">
      <c r="B29" s="91" t="s">
        <v>124</v>
      </c>
      <c r="C29" s="92"/>
      <c r="D29" s="92"/>
      <c r="E29" s="92"/>
      <c r="F29" s="92"/>
      <c r="G29" s="92"/>
      <c r="H29" s="92"/>
      <c r="I29" s="92"/>
      <c r="J29" s="93"/>
    </row>
    <row r="30" spans="2:19" ht="15" customHeight="1">
      <c r="B30" s="94"/>
      <c r="C30" s="95"/>
      <c r="D30" s="95"/>
      <c r="E30" s="95"/>
      <c r="F30" s="95"/>
      <c r="G30" s="95"/>
      <c r="H30" s="95"/>
      <c r="I30" s="95"/>
      <c r="J30" s="96"/>
    </row>
    <row r="31" spans="2:19">
      <c r="B31" s="82" t="str">
        <f>IFERROR(VLOOKUP(E116,$B$133:$C$152,2,FALSE),"ERROR")</f>
        <v>Esta persona actúa positivamente y de forma directa frente a la oposición; demuestra fortaleza, toma una posición y lucha por ella. Le gusta aprovechar las oportunidades y puede incluso sobrepasar prerrogativas.</v>
      </c>
      <c r="C31" s="83"/>
      <c r="D31" s="83"/>
      <c r="E31" s="83"/>
      <c r="F31" s="83"/>
      <c r="G31" s="83"/>
      <c r="H31" s="83"/>
      <c r="I31" s="83"/>
      <c r="J31" s="84"/>
      <c r="K31" s="28"/>
      <c r="L31" s="28"/>
      <c r="M31" s="28"/>
      <c r="N31" s="28"/>
      <c r="O31" s="28"/>
      <c r="P31" s="28"/>
      <c r="Q31" s="28"/>
      <c r="R31" s="28"/>
      <c r="S31" s="28"/>
    </row>
    <row r="32" spans="2:19">
      <c r="B32" s="82"/>
      <c r="C32" s="83"/>
      <c r="D32" s="83"/>
      <c r="E32" s="83"/>
      <c r="F32" s="83"/>
      <c r="G32" s="83"/>
      <c r="H32" s="83"/>
      <c r="I32" s="83"/>
      <c r="J32" s="84"/>
      <c r="K32" s="28"/>
      <c r="L32" s="28"/>
      <c r="M32" s="28"/>
      <c r="N32" s="28"/>
      <c r="O32" s="28"/>
      <c r="P32" s="28"/>
      <c r="Q32" s="28"/>
      <c r="R32" s="28"/>
      <c r="S32" s="28"/>
    </row>
    <row r="33" spans="2:19">
      <c r="B33" s="82"/>
      <c r="C33" s="83"/>
      <c r="D33" s="83"/>
      <c r="E33" s="83"/>
      <c r="F33" s="83"/>
      <c r="G33" s="83"/>
      <c r="H33" s="83"/>
      <c r="I33" s="83"/>
      <c r="J33" s="84"/>
      <c r="K33" s="28"/>
      <c r="L33" s="28"/>
      <c r="M33" s="28"/>
      <c r="N33" s="28"/>
      <c r="O33" s="28"/>
      <c r="P33" s="28"/>
      <c r="Q33" s="28"/>
      <c r="R33" s="28"/>
      <c r="S33" s="28"/>
    </row>
    <row r="34" spans="2:19">
      <c r="B34" s="82"/>
      <c r="C34" s="83"/>
      <c r="D34" s="83"/>
      <c r="E34" s="83"/>
      <c r="F34" s="83"/>
      <c r="G34" s="83"/>
      <c r="H34" s="83"/>
      <c r="I34" s="83"/>
      <c r="J34" s="84"/>
      <c r="K34" s="28"/>
      <c r="L34" s="28"/>
      <c r="M34" s="28"/>
      <c r="N34" s="28"/>
      <c r="O34" s="28"/>
      <c r="P34" s="28"/>
      <c r="Q34" s="28"/>
      <c r="R34" s="28"/>
      <c r="S34" s="28"/>
    </row>
    <row r="35" spans="2:19">
      <c r="B35" s="85"/>
      <c r="C35" s="86"/>
      <c r="D35" s="86"/>
      <c r="E35" s="86"/>
      <c r="F35" s="86"/>
      <c r="G35" s="86"/>
      <c r="H35" s="86"/>
      <c r="I35" s="86"/>
      <c r="J35" s="87"/>
      <c r="K35" s="28"/>
      <c r="L35" s="28"/>
      <c r="M35" s="28"/>
      <c r="N35" s="28"/>
      <c r="O35" s="28"/>
      <c r="P35" s="28"/>
      <c r="Q35" s="28"/>
      <c r="R35" s="28"/>
      <c r="S35" s="28"/>
    </row>
    <row r="36" spans="2:19" ht="8.25" customHeight="1">
      <c r="B36" s="26"/>
      <c r="C36" s="26"/>
      <c r="D36" s="26"/>
      <c r="E36" s="26"/>
      <c r="F36" s="26"/>
      <c r="G36" s="26"/>
      <c r="H36" s="26"/>
      <c r="I36" s="26"/>
      <c r="J36" s="26"/>
      <c r="K36" s="26"/>
      <c r="L36" s="26"/>
    </row>
    <row r="37" spans="2:19" ht="12.75" customHeight="1">
      <c r="B37" s="91" t="s">
        <v>136</v>
      </c>
      <c r="C37" s="92"/>
      <c r="D37" s="92"/>
      <c r="E37" s="92"/>
      <c r="F37" s="92"/>
      <c r="G37" s="92"/>
      <c r="H37" s="92"/>
      <c r="I37" s="92"/>
      <c r="J37" s="93"/>
      <c r="K37" s="26"/>
      <c r="L37" s="26"/>
    </row>
    <row r="38" spans="2:19" ht="17.25" customHeight="1">
      <c r="B38" s="94"/>
      <c r="C38" s="95"/>
      <c r="D38" s="95"/>
      <c r="E38" s="95"/>
      <c r="F38" s="95"/>
      <c r="G38" s="95"/>
      <c r="H38" s="95"/>
      <c r="I38" s="95"/>
      <c r="J38" s="96"/>
      <c r="K38" s="26"/>
      <c r="L38" s="26"/>
    </row>
    <row r="39" spans="2:19">
      <c r="B39" s="82" t="str">
        <f>IFERROR(VLOOKUP(I116,$B$133:$C$152,2,FALSE),"ERROR")</f>
        <v>Esta persona tiende  a ser directa y franca, tiene curiosidad intelectual y se siente a gusto enfrentando problemas que exijan esfuerzo analítico u originalidad; puede se crítica, lógica e incisiva para conseguir sus objetivos, incluso podría ser rudo y crítico con personas.</v>
      </c>
      <c r="C39" s="83"/>
      <c r="D39" s="83"/>
      <c r="E39" s="83"/>
      <c r="F39" s="83"/>
      <c r="G39" s="83"/>
      <c r="H39" s="83"/>
      <c r="I39" s="83"/>
      <c r="J39" s="84"/>
      <c r="K39" s="26"/>
      <c r="L39" s="26"/>
      <c r="M39" s="26"/>
    </row>
    <row r="40" spans="2:19">
      <c r="B40" s="82"/>
      <c r="C40" s="83"/>
      <c r="D40" s="83"/>
      <c r="E40" s="83"/>
      <c r="F40" s="83"/>
      <c r="G40" s="83"/>
      <c r="H40" s="83"/>
      <c r="I40" s="83"/>
      <c r="J40" s="84"/>
      <c r="K40" s="26"/>
      <c r="L40" s="26"/>
      <c r="M40" s="26"/>
    </row>
    <row r="41" spans="2:19">
      <c r="B41" s="82"/>
      <c r="C41" s="83"/>
      <c r="D41" s="83"/>
      <c r="E41" s="83"/>
      <c r="F41" s="83"/>
      <c r="G41" s="83"/>
      <c r="H41" s="83"/>
      <c r="I41" s="83"/>
      <c r="J41" s="84"/>
      <c r="K41" s="26"/>
      <c r="L41" s="26"/>
      <c r="M41" s="26"/>
    </row>
    <row r="42" spans="2:19">
      <c r="B42" s="82"/>
      <c r="C42" s="83"/>
      <c r="D42" s="83"/>
      <c r="E42" s="83"/>
      <c r="F42" s="83"/>
      <c r="G42" s="83"/>
      <c r="H42" s="83"/>
      <c r="I42" s="83"/>
      <c r="J42" s="84"/>
      <c r="K42" s="26"/>
      <c r="L42" s="26"/>
      <c r="M42" s="26"/>
    </row>
    <row r="43" spans="2:19">
      <c r="B43" s="85"/>
      <c r="C43" s="86"/>
      <c r="D43" s="86"/>
      <c r="E43" s="86"/>
      <c r="F43" s="86"/>
      <c r="G43" s="86"/>
      <c r="H43" s="86"/>
      <c r="I43" s="86"/>
      <c r="J43" s="87"/>
      <c r="K43" s="26"/>
      <c r="L43" s="26"/>
      <c r="M43" s="26"/>
    </row>
    <row r="44" spans="2:19" ht="6.75" customHeight="1">
      <c r="B44" s="26"/>
      <c r="C44" s="26"/>
      <c r="D44" s="26"/>
      <c r="E44" s="26"/>
      <c r="F44" s="26"/>
      <c r="G44" s="26"/>
      <c r="H44" s="26"/>
      <c r="I44" s="26"/>
      <c r="J44" s="26"/>
      <c r="K44" s="26"/>
      <c r="L44" s="26"/>
      <c r="M44" s="26"/>
    </row>
    <row r="45" spans="2:19" ht="15" customHeight="1">
      <c r="B45" s="91" t="s">
        <v>125</v>
      </c>
      <c r="C45" s="92"/>
      <c r="D45" s="92"/>
      <c r="E45" s="92"/>
      <c r="F45" s="92"/>
      <c r="G45" s="92"/>
      <c r="H45" s="92"/>
      <c r="I45" s="92"/>
      <c r="J45" s="93"/>
    </row>
    <row r="46" spans="2:19">
      <c r="B46" s="82" t="str">
        <f>IFERROR(VLOOKUP(M116,$B$133:$C$152,2,FALSE),"ERROR")</f>
        <v>Esta persona se preocupa más en evitar riesgos o problemas, puede evidenciar tensión particularmente cuando se le presiona para conseguir resultados; tiene necesidad de que se le confirme la corrección de sus acciones y decisiones.</v>
      </c>
      <c r="C46" s="83"/>
      <c r="D46" s="83"/>
      <c r="E46" s="83"/>
      <c r="F46" s="83"/>
      <c r="G46" s="83"/>
      <c r="H46" s="83"/>
      <c r="I46" s="83"/>
      <c r="J46" s="84"/>
      <c r="K46" s="26"/>
      <c r="L46" s="26"/>
      <c r="M46" s="26"/>
    </row>
    <row r="47" spans="2:19">
      <c r="B47" s="82"/>
      <c r="C47" s="83"/>
      <c r="D47" s="83"/>
      <c r="E47" s="83"/>
      <c r="F47" s="83"/>
      <c r="G47" s="83"/>
      <c r="H47" s="83"/>
      <c r="I47" s="83"/>
      <c r="J47" s="84"/>
      <c r="K47" s="26"/>
      <c r="L47" s="26"/>
      <c r="M47" s="26"/>
    </row>
    <row r="48" spans="2:19">
      <c r="B48" s="82"/>
      <c r="C48" s="83"/>
      <c r="D48" s="83"/>
      <c r="E48" s="83"/>
      <c r="F48" s="83"/>
      <c r="G48" s="83"/>
      <c r="H48" s="83"/>
      <c r="I48" s="83"/>
      <c r="J48" s="84"/>
      <c r="K48" s="26"/>
      <c r="L48" s="26"/>
      <c r="M48" s="26"/>
    </row>
    <row r="49" spans="2:14">
      <c r="B49" s="82"/>
      <c r="C49" s="83"/>
      <c r="D49" s="83"/>
      <c r="E49" s="83"/>
      <c r="F49" s="83"/>
      <c r="G49" s="83"/>
      <c r="H49" s="83"/>
      <c r="I49" s="83"/>
      <c r="J49" s="84"/>
    </row>
    <row r="50" spans="2:14">
      <c r="B50" s="85"/>
      <c r="C50" s="86"/>
      <c r="D50" s="86"/>
      <c r="E50" s="86"/>
      <c r="F50" s="86"/>
      <c r="G50" s="86"/>
      <c r="H50" s="86"/>
      <c r="I50" s="86"/>
      <c r="J50" s="87"/>
    </row>
    <row r="52" spans="2:14" ht="20.100000000000001" customHeight="1">
      <c r="B52" s="108" t="s">
        <v>334</v>
      </c>
      <c r="C52" s="108"/>
      <c r="D52" s="108"/>
      <c r="E52" s="108"/>
      <c r="F52" s="108"/>
      <c r="G52" s="108"/>
      <c r="H52" s="108"/>
      <c r="I52" s="108"/>
      <c r="J52" s="108"/>
      <c r="K52" s="108"/>
    </row>
    <row r="53" spans="2:14" ht="20.100000000000001" customHeight="1">
      <c r="B53" s="107" t="str">
        <f>C70</f>
        <v>Profesional</v>
      </c>
      <c r="C53" s="107"/>
      <c r="D53" s="107"/>
      <c r="E53" s="107"/>
      <c r="F53" s="107"/>
      <c r="G53" s="107"/>
      <c r="H53" s="107"/>
      <c r="I53" s="107"/>
      <c r="J53" s="107"/>
      <c r="K53" s="107"/>
    </row>
    <row r="54" spans="2:14" ht="24.95" customHeight="1">
      <c r="B54" s="88" t="s">
        <v>161</v>
      </c>
      <c r="C54" s="89"/>
      <c r="D54" s="90"/>
      <c r="E54" s="99" t="s">
        <v>257</v>
      </c>
      <c r="F54" s="99"/>
      <c r="G54" s="99"/>
      <c r="H54" s="99"/>
      <c r="I54" s="99"/>
      <c r="J54" s="99"/>
      <c r="K54" s="99"/>
      <c r="L54" s="33"/>
      <c r="M54" s="34"/>
      <c r="N54" s="34"/>
    </row>
    <row r="55" spans="2:14" ht="24.95" customHeight="1">
      <c r="B55" s="88" t="s">
        <v>162</v>
      </c>
      <c r="C55" s="89"/>
      <c r="D55" s="90"/>
      <c r="E55" s="99" t="s">
        <v>258</v>
      </c>
      <c r="F55" s="99"/>
      <c r="G55" s="99"/>
      <c r="H55" s="99"/>
      <c r="I55" s="99"/>
      <c r="J55" s="99"/>
      <c r="K55" s="99"/>
      <c r="L55" s="33"/>
      <c r="M55" s="34"/>
      <c r="N55" s="34"/>
    </row>
    <row r="56" spans="2:14" ht="24.95" customHeight="1">
      <c r="B56" s="88" t="s">
        <v>163</v>
      </c>
      <c r="C56" s="89"/>
      <c r="D56" s="90"/>
      <c r="E56" s="99" t="s">
        <v>325</v>
      </c>
      <c r="F56" s="99"/>
      <c r="G56" s="99"/>
      <c r="H56" s="99"/>
      <c r="I56" s="99"/>
      <c r="J56" s="99"/>
      <c r="K56" s="99"/>
      <c r="L56" s="33"/>
      <c r="M56" s="34"/>
      <c r="N56" s="34"/>
    </row>
    <row r="57" spans="2:14" ht="24.95" customHeight="1">
      <c r="B57" s="88" t="s">
        <v>164</v>
      </c>
      <c r="C57" s="89"/>
      <c r="D57" s="90"/>
      <c r="E57" s="99" t="s">
        <v>259</v>
      </c>
      <c r="F57" s="99"/>
      <c r="G57" s="99"/>
      <c r="H57" s="99"/>
      <c r="I57" s="99"/>
      <c r="J57" s="99"/>
      <c r="K57" s="99"/>
      <c r="L57" s="33"/>
      <c r="M57" s="34"/>
      <c r="N57" s="34"/>
    </row>
    <row r="58" spans="2:14" ht="24.95" customHeight="1">
      <c r="B58" s="88" t="s">
        <v>165</v>
      </c>
      <c r="C58" s="89"/>
      <c r="D58" s="90"/>
      <c r="E58" s="99" t="s">
        <v>260</v>
      </c>
      <c r="F58" s="99"/>
      <c r="G58" s="99"/>
      <c r="H58" s="99"/>
      <c r="I58" s="99"/>
      <c r="J58" s="99"/>
      <c r="K58" s="99"/>
      <c r="L58" s="33"/>
      <c r="M58" s="34"/>
      <c r="N58" s="34"/>
    </row>
    <row r="59" spans="2:14" ht="24.95" customHeight="1">
      <c r="B59" s="88" t="s">
        <v>166</v>
      </c>
      <c r="C59" s="89"/>
      <c r="D59" s="90"/>
      <c r="E59" s="99" t="s">
        <v>261</v>
      </c>
      <c r="F59" s="99"/>
      <c r="G59" s="99"/>
      <c r="H59" s="99"/>
      <c r="I59" s="99"/>
      <c r="J59" s="99"/>
      <c r="K59" s="99"/>
      <c r="L59" s="33"/>
      <c r="M59" s="34"/>
      <c r="N59" s="34"/>
    </row>
    <row r="60" spans="2:14" ht="24.95" customHeight="1">
      <c r="B60" s="88" t="s">
        <v>167</v>
      </c>
      <c r="C60" s="89"/>
      <c r="D60" s="90"/>
      <c r="E60" s="99" t="s">
        <v>262</v>
      </c>
      <c r="F60" s="99"/>
      <c r="G60" s="99"/>
      <c r="H60" s="99"/>
      <c r="I60" s="99"/>
      <c r="J60" s="99"/>
      <c r="K60" s="99"/>
      <c r="L60" s="33"/>
      <c r="M60" s="34"/>
      <c r="N60" s="34"/>
    </row>
    <row r="61" spans="2:14" ht="24.95" customHeight="1">
      <c r="B61" s="88" t="s">
        <v>168</v>
      </c>
      <c r="C61" s="89"/>
      <c r="D61" s="90"/>
      <c r="E61" s="99" t="s">
        <v>263</v>
      </c>
      <c r="F61" s="99"/>
      <c r="G61" s="99"/>
      <c r="H61" s="99"/>
      <c r="I61" s="99"/>
      <c r="J61" s="99"/>
      <c r="K61" s="99"/>
      <c r="L61" s="33"/>
      <c r="M61" s="34"/>
      <c r="N61" s="34"/>
    </row>
    <row r="62" spans="2:14" ht="45" customHeight="1">
      <c r="B62" s="88" t="s">
        <v>169</v>
      </c>
      <c r="C62" s="89"/>
      <c r="D62" s="90"/>
      <c r="E62" s="99" t="s">
        <v>326</v>
      </c>
      <c r="F62" s="99"/>
      <c r="G62" s="99"/>
      <c r="H62" s="99"/>
      <c r="I62" s="99"/>
      <c r="J62" s="99"/>
      <c r="K62" s="99"/>
      <c r="L62" s="33"/>
      <c r="M62" s="34"/>
      <c r="N62" s="34"/>
    </row>
    <row r="63" spans="2:14" ht="210" customHeight="1">
      <c r="B63" s="88" t="s">
        <v>170</v>
      </c>
      <c r="C63" s="89"/>
      <c r="D63" s="90"/>
      <c r="E63" s="99" t="s">
        <v>327</v>
      </c>
      <c r="F63" s="99"/>
      <c r="G63" s="99"/>
      <c r="H63" s="99"/>
      <c r="I63" s="99"/>
      <c r="J63" s="99"/>
      <c r="K63" s="99"/>
      <c r="L63" s="33"/>
      <c r="M63" s="34"/>
      <c r="N63" s="34"/>
    </row>
    <row r="68" spans="2:17" ht="12.75" customHeight="1">
      <c r="C68" s="25" t="s">
        <v>0</v>
      </c>
      <c r="D68" s="25" t="s">
        <v>1</v>
      </c>
      <c r="E68" s="25" t="s">
        <v>2</v>
      </c>
      <c r="F68" s="25" t="s">
        <v>3</v>
      </c>
      <c r="G68" s="66">
        <v>4545</v>
      </c>
      <c r="H68" s="68" t="str">
        <f>CONCATENATE(C69,D69,E69,F69)</f>
        <v>5337</v>
      </c>
      <c r="J68" s="62"/>
    </row>
    <row r="69" spans="2:17" ht="34.5" customHeight="1">
      <c r="C69" s="67">
        <f>IF(K74&lt;=11,1,IF(K74&lt;=26,2,IF(K74&lt;=41,3,IF(K74&lt;=56,4,IF(K74&lt;=70,5,IF(K74&lt;=85,6,IF(K74&lt;=100,7)))))))</f>
        <v>5</v>
      </c>
      <c r="D69" s="67">
        <f>IF(K75&lt;=11,1,IF(K75&lt;=26,2,IF(K75&lt;=41,3,IF(K75&lt;=56,4,IF(K75&lt;=70,5,IF(K75&lt;=85,6,IF(K75&lt;=100,7)))))))</f>
        <v>3</v>
      </c>
      <c r="E69" s="67">
        <f>IF(K76&lt;=11,1,IF(K76&lt;=26,2,IF(K76&lt;=41,3,IF(K76&lt;=56,4,IF(K76&lt;=70,5,IF(K76&lt;=85,6,IF(K76&lt;=100,7)))))))</f>
        <v>3</v>
      </c>
      <c r="F69" s="67">
        <f>IF(K77&lt;=11,1,IF(K77&lt;=26,2,IF(K77&lt;=41,3,IF(K77&lt;=56,4,IF(K77&lt;=70,5,IF(K77&lt;=85,6,IF(K77&lt;=100,7)))))))</f>
        <v>7</v>
      </c>
      <c r="G69" s="100" t="s">
        <v>122</v>
      </c>
      <c r="H69" s="101"/>
    </row>
    <row r="70" spans="2:17" ht="34.5" customHeight="1">
      <c r="C70" s="104" t="str">
        <f>IFERROR(VLOOKUP(G68,$B$349:$C$2750,2,FALSE), "No hay patrón clásico")</f>
        <v>Profesional</v>
      </c>
      <c r="D70" s="105"/>
      <c r="E70" s="105"/>
      <c r="F70" s="106"/>
      <c r="G70" s="102" t="s">
        <v>123</v>
      </c>
      <c r="H70" s="103"/>
    </row>
    <row r="72" spans="2:17" s="19" customFormat="1"/>
    <row r="73" spans="2:17" s="19" customFormat="1">
      <c r="B73" s="2" t="s">
        <v>5</v>
      </c>
      <c r="C73" s="42"/>
      <c r="F73" s="2" t="s">
        <v>4</v>
      </c>
      <c r="G73" s="42"/>
      <c r="J73" s="2" t="s">
        <v>6</v>
      </c>
      <c r="K73" s="42"/>
      <c r="O73" s="35"/>
      <c r="P73" s="35"/>
      <c r="Q73" s="35"/>
    </row>
    <row r="74" spans="2:17" s="19" customFormat="1" ht="15">
      <c r="B74" s="2" t="s">
        <v>0</v>
      </c>
      <c r="C74" s="69">
        <f>IF(C126&lt;1,99,IF(C126=1,95,IF(C126=2,90,IF(C126&lt;=4,85,IF(C126=5,80,IF(C126=6,70,IF(C126=7,65,IF(C126=7,65,IF(C126=8,60,IF(C126=9,55,IF(C126=10,50,IF(C126=11,45,IF(C126=12,40,IF(C126=13,30,IF(C126=14,25,IF(C126=15,20,IF(C126=16,16,IF(C126=17,10,IF(C126=18,5,IF(C126=19,1))))))))))))))))))))</f>
        <v>85</v>
      </c>
      <c r="D74" s="36" t="str">
        <f>B74</f>
        <v>D</v>
      </c>
      <c r="E74" s="36"/>
      <c r="F74" s="2" t="s">
        <v>0</v>
      </c>
      <c r="G74" s="69">
        <f>IF(D126&lt;1,99,IF(D126=1,97,IF(D126=2,93,IF(D126=3,84,IF(D126=4,82,IF(D126=5,75,IF(D126=6,70,IF(D126=7,65,IF(D126=8,58,IF(D126=9,52,IF(D126=10,49,IF(D126=11,42,IF(D126=12,36,IF(D126=13,30,IF(D126=14,22,IF(D126=15,18,IF(D126=16,14,IF(D126=17,8,IF(D126=18,4,IF(D126=19,1))))))))))))))))))))</f>
        <v>65</v>
      </c>
      <c r="H74" s="36" t="str">
        <f>F74</f>
        <v>D</v>
      </c>
      <c r="I74" s="36"/>
      <c r="J74" s="2" t="s">
        <v>0</v>
      </c>
      <c r="K74" s="69">
        <f>IF(E126=0,70,IF(E126=1,75,IF(E126=2,78,IF(E126=3,78,IF(E126=4,83,IF(E126=5,83,IF(E126=6,86,IF(E126=7,86,IF(E126=8,90,IF(E126=9,90,IF(E126=10,93,IF(E126=11,93,IF(E126=12,95,IF(E126=13,97,IF(E126=14,98,IF(E126=15,99,IF(E126=-1,68,IF(E126=-2,58,IF(E126=-3,58,IF(E126=-4,52,IF(E126=-5,49,IF(E126=-6,45,IF(E126=-7,40,IF(E126&lt;=-8,40,IF(E126=-9,34,IF(E126=-10,29,IF(E126=-11,29,IF(E126=-12,21,IF(E126=-13,19,IF(E126=-14,16,IF(E126=-15,13,IF(E126=-16,8))))))))))))))))))))))))))))))))</f>
        <v>58</v>
      </c>
      <c r="L74" s="19" t="str">
        <f>J74</f>
        <v>D</v>
      </c>
      <c r="O74" s="35"/>
      <c r="P74" s="35"/>
      <c r="Q74" s="35"/>
    </row>
    <row r="75" spans="2:17" s="19" customFormat="1" ht="15">
      <c r="B75" s="2" t="s">
        <v>1</v>
      </c>
      <c r="C75" s="69">
        <f>IF(C127&lt;1,99,IF(C127=1,93,IF(C127=2,85,IF(C127&lt;=3,80,IF(C127=4,70,IF(C127=5,52,IF(C127=6,49,IF(C127=7,35,IF(C127=8,29,IF(C127=9,25,IF(C127=10,18,IF(C127=11,16,IF(C127=12,7,IF(C127=13,5,IF(C127=14,3,IF(C127&gt;=15,1))))))))))))))))</f>
        <v>70</v>
      </c>
      <c r="D75" s="36" t="str">
        <f>B75</f>
        <v>I</v>
      </c>
      <c r="E75" s="36"/>
      <c r="F75" s="2" t="s">
        <v>1</v>
      </c>
      <c r="G75" s="69">
        <f>IF(D127&lt;1,99,IF(D127=1,94,IF(D127=2,83,IF(D127=3,80,IF(D127=4,70,IF(D127=5,52,IF(D127=6,49,IF(D127=7,35,IF(D127=8,29,IF(D127=9,22,IF(D127=10,16,IF(D127=11,15,IF(D127=12,7,IF(D127=13,4,IF(D127=14,3,IF(D127&gt;=15,1))))))))))))))))</f>
        <v>22</v>
      </c>
      <c r="H75" s="36" t="str">
        <f>F75</f>
        <v>I</v>
      </c>
      <c r="I75" s="36"/>
      <c r="J75" s="2" t="s">
        <v>1</v>
      </c>
      <c r="K75" s="69">
        <f>IF(E127=0,60,IF(E127=1,65,IF(E127=2,65,IF(E127=3,70,IF(E127=4,70,IF(E127=5,72,IF(E127=6,72,IF(E127=7,80,IF(E127=8,83,IF(E127=9,84,IF(E127=10,93,IF(E127=11,93,IF(E127=12,95,IF(E127=13,96,IF(E127=14,96,IF(E127=15,97,IF(E127=16,97,IF(E127=17,98,IF(E127=18,98,IF(E127=-1,55,IF(E127=-2,48,IF(E127=-3,48,IF(E127=-4,40,IF(E127=-5,34,IF(E127=-6,30,IF(E127=-7,21,IF(E127=-8,17,IF(E127=-9,14,IF(E127=-10,6,IF(E127=-11,6,IF(E127=-12,5,IF(E127=-13,3,IF(E127=-14,1)))))))))))))))))))))))))))))))))</f>
        <v>34</v>
      </c>
      <c r="L75" s="19" t="str">
        <f>J75</f>
        <v>I</v>
      </c>
    </row>
    <row r="76" spans="2:17" s="19" customFormat="1" ht="15">
      <c r="B76" s="2" t="s">
        <v>2</v>
      </c>
      <c r="C76" s="69">
        <f>IF(C128&lt;1,99,IF(C128=1,80,IF(C128=2,70,IF(C128=3,55,IF(C128=4,50,IF(C128=5,35,IF(C128=6,30,IF(C128=7,25,IF(C128=8,18,IF(C128=9,16,IF(C128=10,10,IF(C128=11,6,IF(C128=12,4,IF(C128&gt;=13,1))))))))))))))</f>
        <v>70</v>
      </c>
      <c r="D76" s="36" t="str">
        <f>B76</f>
        <v>S</v>
      </c>
      <c r="E76" s="36"/>
      <c r="F76" s="2" t="s">
        <v>2</v>
      </c>
      <c r="G76" s="69">
        <f>IF(D128&lt;1,99,IF(D128=1,80,IF(D128=2,70,IF(D128=3,57,IF(D128=4,49,IF(D128=5,35,IF(D128=6,29,IF(D128=7,22,IF(D128=8,16,IF(D128=9,15,IF(D128=10,10,IF(D128=11,7,IF(D128=12,4,IF(D128&gt;=13,1))))))))))))))</f>
        <v>49</v>
      </c>
      <c r="H76" s="36" t="str">
        <f>F76</f>
        <v>S</v>
      </c>
      <c r="I76" s="36"/>
      <c r="J76" s="2" t="s">
        <v>2</v>
      </c>
      <c r="K76" s="69">
        <f>IF(E128=0,35,IF(E128=1,42,IF(E128=2,48,IF(E128=3,48,IF(E128=4,53,IF(E128=5,58,IF(E128=6,65,IF(E128=7,65,IF(E128=8,71,IF(E128=9,71,IF(E128=10,78,IF(E128=11,80,IF(E128=12,80,IF(E128=13,84,IF(E128=14,91,IF(E128=15,93,IF(E128=16,95,IF(E128=17,98,IF(E128=-1,32,IF(E128=-2,28,IF(E128=-3,22,IF(E128=-4,22,IF(E128=-5,17,IF(E128=-6,16,IF(E128=-7,10,IF(E128=-8,10,IF(E128=-9,8,IF(E128=-10,4,IF(E128=-11,3,IF(E128=-12,3,IF(E128=-13,1)))))))))))))))))))))))))))))))</f>
        <v>28</v>
      </c>
      <c r="L76" s="19" t="str">
        <f>J76</f>
        <v>S</v>
      </c>
    </row>
    <row r="77" spans="2:17" s="19" customFormat="1" ht="15">
      <c r="B77" s="2" t="s">
        <v>3</v>
      </c>
      <c r="C77" s="69">
        <f>IF(C129&lt;1,99,IF(C129=1,92,IF(C129=2,78,IF(C129=3,70,IF(C129=4,65,IF(C129=5,52,IF(C129=6,49,IF(C129=7,45,IF(C129=8,40,IF(C129=9,34,IF(C129=10,25,IF(C129=11,18,IF(C129=12,16,IF(C129=13,6,IF(C129=14,5,IF(C129&gt;=15,1))))))))))))))))</f>
        <v>5</v>
      </c>
      <c r="D77" s="36" t="str">
        <f>B77</f>
        <v>C</v>
      </c>
      <c r="E77" s="36"/>
      <c r="F77" s="2" t="s">
        <v>3</v>
      </c>
      <c r="G77" s="69">
        <f>IF(D129&lt;1,99,IF(D129=1,90,IF(D129=2,77,IF(D129=3,70,IF(D129=4,65,IF(D129=5,52,IF(D129=6,49,IF(D129=7,42,IF(D129=8,36,IF(D129=9,34,IF(D129=10,22,IF(D129=11,16,IF(D129=12,15,IF(D129=13,7,IF(D129=14,5,IF(D129=15,3,IF(D129&gt;=16,1)))))))))))))))))</f>
        <v>65</v>
      </c>
      <c r="H77" s="36" t="str">
        <f>F77</f>
        <v>C</v>
      </c>
      <c r="I77" s="36"/>
      <c r="J77" s="2" t="s">
        <v>3</v>
      </c>
      <c r="K77" s="69">
        <f>IF(E129=0,49,IF(E129=1,58,IF(E129=2,60,IF(E129=3,66,IF(E129=4,70,IF(E129=5,78,IF(E129=6,80,IF(E129=7,81,IF(E129=8,82,IF(E129=9,83,IF(E129=10,90,IF(E129=11,95,IF(E129=12,96,IF(E129=13,98,IF(E129=14,98,IF(E129=-1,45,IF(E129=-2,40,IF(E129=-3,40,IF(E129=-4,34,IF(E129=-5,30,IF(E129=-6,29,IF(E129=-7,25,IF(E129=-8,19,IF(E129=-9,17,IF(E129=-10,16,IF(E129=-11,10,IF(E129=-12,5,IF(E129=-13,4,IF(E129=-14,3,IF(E129=-15,1))))))))))))))))))))))))))))))</f>
        <v>90</v>
      </c>
      <c r="L77" s="19" t="str">
        <f>J77</f>
        <v>C</v>
      </c>
    </row>
    <row r="78" spans="2:17" s="19" customFormat="1" hidden="1">
      <c r="B78" s="37" t="s">
        <v>144</v>
      </c>
      <c r="C78" s="37" t="s">
        <v>145</v>
      </c>
      <c r="F78" s="37" t="s">
        <v>144</v>
      </c>
      <c r="G78" s="37" t="s">
        <v>145</v>
      </c>
      <c r="J78" s="37" t="s">
        <v>144</v>
      </c>
      <c r="K78" s="37" t="s">
        <v>145</v>
      </c>
    </row>
    <row r="79" spans="2:17" s="19" customFormat="1" hidden="1">
      <c r="B79" s="38" t="str">
        <f>INDEX(C74:D77,MATCH(MAX(C74:C77),C74:C77,0),2)</f>
        <v>D</v>
      </c>
      <c r="C79" s="38" t="str">
        <f>INDEX(C74:D77,MATCH(MIN(C74:C77),C74:C77,0),2)</f>
        <v>C</v>
      </c>
      <c r="F79" s="39" t="str">
        <f>INDEX(G74:H77,MATCH(MAX(G74:G77),G74:G77,0),2)</f>
        <v>D</v>
      </c>
      <c r="G79" s="39" t="str">
        <f>INDEX(G74:H77,MATCH(MIN(G74:G77),G74:G77,0),2)</f>
        <v>I</v>
      </c>
      <c r="J79" s="39" t="str">
        <f>INDEX(K74:L77,MATCH(MAX(K74:K77),K74:K77,0),2)</f>
        <v>C</v>
      </c>
      <c r="K79" s="39" t="str">
        <f>INDEX(K74:L77,MATCH(MIN(K74:K77),K74:K77,0),2)</f>
        <v>S</v>
      </c>
    </row>
    <row r="80" spans="2:17" s="36" customFormat="1" hidden="1">
      <c r="B80" s="98" t="str">
        <f>B79&amp;C79</f>
        <v>DC</v>
      </c>
      <c r="C80" s="98"/>
      <c r="F80" s="98" t="str">
        <f>F79&amp;G79</f>
        <v>DI</v>
      </c>
      <c r="G80" s="98"/>
      <c r="J80" s="98" t="str">
        <f>J79&amp;K79</f>
        <v>CS</v>
      </c>
      <c r="K80" s="98"/>
    </row>
    <row r="81" spans="2:16" s="36" customFormat="1" hidden="1">
      <c r="B81" s="40"/>
      <c r="C81" s="40"/>
      <c r="F81" s="40"/>
      <c r="G81" s="40"/>
      <c r="J81" s="40"/>
      <c r="K81" s="40"/>
    </row>
    <row r="82" spans="2:16" s="36" customFormat="1" hidden="1">
      <c r="B82" s="41" t="s">
        <v>146</v>
      </c>
      <c r="C82" s="38"/>
      <c r="D82" s="42"/>
      <c r="F82" s="40"/>
      <c r="G82" s="40"/>
      <c r="J82" s="40"/>
      <c r="K82" s="40"/>
    </row>
    <row r="83" spans="2:16" s="36" customFormat="1" hidden="1">
      <c r="B83" s="38"/>
      <c r="C83" s="38" t="s">
        <v>145</v>
      </c>
      <c r="D83" s="43">
        <v>30</v>
      </c>
      <c r="F83" s="40"/>
      <c r="G83" s="40"/>
      <c r="J83" s="40"/>
      <c r="K83" s="40"/>
    </row>
    <row r="84" spans="2:16" s="36" customFormat="1" hidden="1">
      <c r="B84" s="39"/>
      <c r="C84" s="39" t="s">
        <v>144</v>
      </c>
      <c r="D84" s="44">
        <v>60</v>
      </c>
      <c r="F84" s="40"/>
      <c r="G84" s="40"/>
      <c r="J84" s="40"/>
      <c r="K84" s="40"/>
    </row>
    <row r="85" spans="2:16" s="36" customFormat="1" hidden="1">
      <c r="B85" s="117"/>
      <c r="C85" s="117"/>
      <c r="D85" s="117"/>
      <c r="E85" s="118" t="str">
        <f>B145</f>
        <v>D=C/I=S</v>
      </c>
      <c r="F85" s="119"/>
      <c r="G85" s="119"/>
      <c r="H85" s="119"/>
      <c r="I85" s="119"/>
      <c r="J85" s="119"/>
      <c r="K85" s="119"/>
      <c r="L85" s="119"/>
      <c r="M85" s="119"/>
      <c r="N85" s="119"/>
      <c r="O85" s="119"/>
      <c r="P85" s="120"/>
    </row>
    <row r="86" spans="2:16" s="36" customFormat="1" hidden="1">
      <c r="B86" s="117"/>
      <c r="C86" s="117"/>
      <c r="D86" s="117"/>
      <c r="E86" s="117" t="str">
        <f>$B$73</f>
        <v>RESPUESTAS MAS</v>
      </c>
      <c r="F86" s="117"/>
      <c r="G86" s="117"/>
      <c r="H86" s="117"/>
      <c r="I86" s="117" t="str">
        <f>$F$73</f>
        <v>RESPUESTAS MENOS</v>
      </c>
      <c r="J86" s="117"/>
      <c r="K86" s="117"/>
      <c r="L86" s="117"/>
      <c r="M86" s="117" t="str">
        <f>$J$73</f>
        <v>EL COMPUESTO</v>
      </c>
      <c r="N86" s="117"/>
      <c r="O86" s="117"/>
      <c r="P86" s="117"/>
    </row>
    <row r="87" spans="2:16" s="36" customFormat="1" hidden="1">
      <c r="B87" s="117"/>
      <c r="C87" s="117"/>
      <c r="D87" s="117"/>
      <c r="E87" s="117" t="s">
        <v>149</v>
      </c>
      <c r="F87" s="117"/>
      <c r="G87" s="117"/>
      <c r="H87" s="117"/>
      <c r="I87" s="117" t="s">
        <v>149</v>
      </c>
      <c r="J87" s="117"/>
      <c r="K87" s="117"/>
      <c r="L87" s="117"/>
      <c r="M87" s="117" t="s">
        <v>149</v>
      </c>
      <c r="N87" s="117"/>
      <c r="O87" s="117"/>
      <c r="P87" s="117"/>
    </row>
    <row r="88" spans="2:16" s="36" customFormat="1" hidden="1">
      <c r="B88" s="117"/>
      <c r="C88" s="117"/>
      <c r="D88" s="117"/>
      <c r="E88" s="45" t="s">
        <v>147</v>
      </c>
      <c r="F88" s="113" t="b">
        <f>AND(C74&gt;$D$84,C77&gt;$D$84)</f>
        <v>0</v>
      </c>
      <c r="G88" s="113"/>
      <c r="H88" s="134" t="b">
        <f>IF(AND(F88,F89),TRUE,FALSE)</f>
        <v>0</v>
      </c>
      <c r="I88" s="45" t="s">
        <v>147</v>
      </c>
      <c r="J88" s="113" t="b">
        <f>AND(G74&gt;$D$84,G77&gt;$D$84)</f>
        <v>1</v>
      </c>
      <c r="K88" s="113"/>
      <c r="L88" s="113" t="b">
        <f>IF(AND(J88,J89),TRUE,FALSE)</f>
        <v>0</v>
      </c>
      <c r="M88" s="45" t="s">
        <v>147</v>
      </c>
      <c r="N88" s="113" t="b">
        <f>AND(K74&gt;$D$84,K77&gt;$D$84)</f>
        <v>0</v>
      </c>
      <c r="O88" s="113"/>
      <c r="P88" s="113" t="b">
        <f>IF(AND(N88,N89),TRUE,FALSE)</f>
        <v>0</v>
      </c>
    </row>
    <row r="89" spans="2:16" s="36" customFormat="1" hidden="1">
      <c r="B89" s="117"/>
      <c r="C89" s="117"/>
      <c r="D89" s="117"/>
      <c r="E89" s="45" t="s">
        <v>148</v>
      </c>
      <c r="F89" s="113" t="b">
        <f>AND(C75&lt;$D$83,C76&lt;$D$83)</f>
        <v>0</v>
      </c>
      <c r="G89" s="113"/>
      <c r="H89" s="134"/>
      <c r="I89" s="45" t="s">
        <v>148</v>
      </c>
      <c r="J89" s="113" t="b">
        <f>AND(G75&lt;$D$83,G76&lt;$D$83)</f>
        <v>0</v>
      </c>
      <c r="K89" s="113"/>
      <c r="L89" s="113"/>
      <c r="M89" s="45" t="s">
        <v>148</v>
      </c>
      <c r="N89" s="113" t="b">
        <f>AND(K75&lt;$D$83,K76&lt;$D$83)</f>
        <v>0</v>
      </c>
      <c r="O89" s="113"/>
      <c r="P89" s="113"/>
    </row>
    <row r="90" spans="2:16" s="36" customFormat="1" hidden="1">
      <c r="B90" s="112"/>
      <c r="C90" s="112"/>
      <c r="D90" s="112"/>
      <c r="E90" s="109" t="str">
        <f>B146</f>
        <v>I= S/D=C</v>
      </c>
      <c r="F90" s="110"/>
      <c r="G90" s="110"/>
      <c r="H90" s="110"/>
      <c r="I90" s="110"/>
      <c r="J90" s="110"/>
      <c r="K90" s="110"/>
      <c r="L90" s="110"/>
      <c r="M90" s="110"/>
      <c r="N90" s="110"/>
      <c r="O90" s="110"/>
      <c r="P90" s="111"/>
    </row>
    <row r="91" spans="2:16" s="36" customFormat="1" hidden="1">
      <c r="B91" s="112"/>
      <c r="C91" s="112"/>
      <c r="D91" s="112"/>
      <c r="E91" s="112" t="str">
        <f>E86</f>
        <v>RESPUESTAS MAS</v>
      </c>
      <c r="F91" s="112"/>
      <c r="G91" s="112"/>
      <c r="H91" s="112"/>
      <c r="I91" s="112" t="str">
        <f>I86</f>
        <v>RESPUESTAS MENOS</v>
      </c>
      <c r="J91" s="112"/>
      <c r="K91" s="112"/>
      <c r="L91" s="112"/>
      <c r="M91" s="112" t="str">
        <f>M86</f>
        <v>EL COMPUESTO</v>
      </c>
      <c r="N91" s="112"/>
      <c r="O91" s="112"/>
      <c r="P91" s="112"/>
    </row>
    <row r="92" spans="2:16" s="36" customFormat="1" hidden="1">
      <c r="B92" s="112"/>
      <c r="C92" s="112"/>
      <c r="D92" s="112"/>
      <c r="E92" s="112" t="str">
        <f>E90</f>
        <v>I= S/D=C</v>
      </c>
      <c r="F92" s="112"/>
      <c r="G92" s="112"/>
      <c r="H92" s="112"/>
      <c r="I92" s="112" t="str">
        <f>E90</f>
        <v>I= S/D=C</v>
      </c>
      <c r="J92" s="112"/>
      <c r="K92" s="112"/>
      <c r="L92" s="112"/>
      <c r="M92" s="112" t="str">
        <f>E90</f>
        <v>I= S/D=C</v>
      </c>
      <c r="N92" s="112"/>
      <c r="O92" s="112"/>
      <c r="P92" s="112"/>
    </row>
    <row r="93" spans="2:16" s="36" customFormat="1" hidden="1">
      <c r="B93" s="112"/>
      <c r="C93" s="112"/>
      <c r="D93" s="112"/>
      <c r="E93" s="46" t="s">
        <v>147</v>
      </c>
      <c r="F93" s="97" t="b">
        <f>AND(C74&lt;$D$83,C77&lt;$D$83)</f>
        <v>0</v>
      </c>
      <c r="G93" s="97"/>
      <c r="H93" s="97" t="b">
        <f>IF(AND(F93,F94),TRUE,FALSE)</f>
        <v>0</v>
      </c>
      <c r="I93" s="46" t="s">
        <v>147</v>
      </c>
      <c r="J93" s="97" t="b">
        <f>AND(G78&gt;$D$84,G81&gt;$D$84)</f>
        <v>0</v>
      </c>
      <c r="K93" s="97"/>
      <c r="L93" s="97" t="b">
        <f>IF(AND(J93,J94),TRUE,FALSE)</f>
        <v>0</v>
      </c>
      <c r="M93" s="46" t="s">
        <v>147</v>
      </c>
      <c r="N93" s="97" t="b">
        <f>AND(K78&gt;$D$84,K81&gt;$D$84)</f>
        <v>0</v>
      </c>
      <c r="O93" s="97"/>
      <c r="P93" s="97" t="b">
        <f>IF(AND(N93,N94),TRUE,FALSE)</f>
        <v>0</v>
      </c>
    </row>
    <row r="94" spans="2:16" s="36" customFormat="1" hidden="1">
      <c r="B94" s="112"/>
      <c r="C94" s="112"/>
      <c r="D94" s="112"/>
      <c r="E94" s="46" t="s">
        <v>148</v>
      </c>
      <c r="F94" s="97" t="b">
        <f>AND(C75&gt;$D$84,C76&gt;$D$84)</f>
        <v>1</v>
      </c>
      <c r="G94" s="97"/>
      <c r="H94" s="97"/>
      <c r="I94" s="46" t="s">
        <v>148</v>
      </c>
      <c r="J94" s="97" t="b">
        <f>AND(G79&lt;$D$83,G80&lt;$D$83)</f>
        <v>0</v>
      </c>
      <c r="K94" s="97"/>
      <c r="L94" s="97"/>
      <c r="M94" s="46" t="s">
        <v>148</v>
      </c>
      <c r="N94" s="97" t="b">
        <f>AND(K79&lt;$D$83,K80&lt;$D$83)</f>
        <v>0</v>
      </c>
      <c r="O94" s="97"/>
      <c r="P94" s="97"/>
    </row>
    <row r="95" spans="2:16" s="36" customFormat="1" hidden="1">
      <c r="B95" s="117"/>
      <c r="C95" s="117"/>
      <c r="D95" s="117"/>
      <c r="E95" s="118" t="s">
        <v>150</v>
      </c>
      <c r="F95" s="119"/>
      <c r="G95" s="119"/>
      <c r="H95" s="119"/>
      <c r="I95" s="119"/>
      <c r="J95" s="119"/>
      <c r="K95" s="119"/>
      <c r="L95" s="119"/>
      <c r="M95" s="119"/>
      <c r="N95" s="119"/>
      <c r="O95" s="119"/>
      <c r="P95" s="120"/>
    </row>
    <row r="96" spans="2:16" s="36" customFormat="1" hidden="1">
      <c r="B96" s="117"/>
      <c r="C96" s="117"/>
      <c r="D96" s="117"/>
      <c r="E96" s="117" t="str">
        <f>E91</f>
        <v>RESPUESTAS MAS</v>
      </c>
      <c r="F96" s="117"/>
      <c r="G96" s="117"/>
      <c r="H96" s="117"/>
      <c r="I96" s="117" t="str">
        <f>I91</f>
        <v>RESPUESTAS MENOS</v>
      </c>
      <c r="J96" s="117"/>
      <c r="K96" s="117"/>
      <c r="L96" s="117"/>
      <c r="M96" s="117" t="str">
        <f>M91</f>
        <v>EL COMPUESTO</v>
      </c>
      <c r="N96" s="117"/>
      <c r="O96" s="117"/>
      <c r="P96" s="117"/>
    </row>
    <row r="97" spans="2:16" s="36" customFormat="1" hidden="1">
      <c r="B97" s="117"/>
      <c r="C97" s="117"/>
      <c r="D97" s="117"/>
      <c r="E97" s="121" t="str">
        <f>B147</f>
        <v>PEG1</v>
      </c>
      <c r="F97" s="122"/>
      <c r="G97" s="122"/>
      <c r="H97" s="123"/>
      <c r="I97" s="121" t="str">
        <f>B148</f>
        <v>PEG2</v>
      </c>
      <c r="J97" s="122"/>
      <c r="K97" s="122"/>
      <c r="L97" s="123"/>
      <c r="M97" s="121" t="str">
        <f>B149</f>
        <v>PEG3</v>
      </c>
      <c r="N97" s="122"/>
      <c r="O97" s="122"/>
      <c r="P97" s="123"/>
    </row>
    <row r="98" spans="2:16" s="36" customFormat="1" hidden="1">
      <c r="B98" s="117"/>
      <c r="C98" s="117"/>
      <c r="D98" s="117"/>
      <c r="E98" s="45" t="s">
        <v>0</v>
      </c>
      <c r="F98" s="113" t="b">
        <f>AND(C74&gt;$D$83,C74&lt;$D$84)</f>
        <v>0</v>
      </c>
      <c r="G98" s="113"/>
      <c r="H98" s="114" t="b">
        <f>AND(F98,F99,F100,F101)</f>
        <v>0</v>
      </c>
      <c r="I98" s="45" t="s">
        <v>147</v>
      </c>
      <c r="J98" s="113" t="b">
        <f>AND(G74&gt;$D$83,G74&lt;$D$84)</f>
        <v>0</v>
      </c>
      <c r="K98" s="113"/>
      <c r="L98" s="114" t="b">
        <f>AND(J98,J99,J100,J101)</f>
        <v>0</v>
      </c>
      <c r="M98" s="45" t="s">
        <v>147</v>
      </c>
      <c r="N98" s="113" t="b">
        <f>AND(K74&gt;$D$83,K74&lt;$D$84)</f>
        <v>1</v>
      </c>
      <c r="O98" s="113"/>
      <c r="P98" s="114" t="b">
        <f>AND(N98,N99,N100,N101)</f>
        <v>0</v>
      </c>
    </row>
    <row r="99" spans="2:16" s="36" customFormat="1" hidden="1">
      <c r="B99" s="117"/>
      <c r="C99" s="117"/>
      <c r="D99" s="117"/>
      <c r="E99" s="45" t="s">
        <v>1</v>
      </c>
      <c r="F99" s="113" t="b">
        <f>AND(C75&gt;$D$83,C75&lt;$D$84)</f>
        <v>0</v>
      </c>
      <c r="G99" s="113"/>
      <c r="H99" s="115"/>
      <c r="I99" s="45" t="s">
        <v>148</v>
      </c>
      <c r="J99" s="113" t="b">
        <f>AND(G75&gt;$D$83,G75&lt;$D$84)</f>
        <v>0</v>
      </c>
      <c r="K99" s="113"/>
      <c r="L99" s="115"/>
      <c r="M99" s="45" t="s">
        <v>148</v>
      </c>
      <c r="N99" s="113" t="b">
        <f>AND(K75&gt;$D$83,K75&lt;$D$84)</f>
        <v>1</v>
      </c>
      <c r="O99" s="113"/>
      <c r="P99" s="115"/>
    </row>
    <row r="100" spans="2:16" s="36" customFormat="1" hidden="1">
      <c r="B100" s="117"/>
      <c r="C100" s="117"/>
      <c r="D100" s="117"/>
      <c r="E100" s="45" t="s">
        <v>2</v>
      </c>
      <c r="F100" s="113" t="b">
        <f>AND(C76&gt;$D$83,C76&lt;$D$84)</f>
        <v>0</v>
      </c>
      <c r="G100" s="113"/>
      <c r="H100" s="115"/>
      <c r="I100" s="45" t="s">
        <v>147</v>
      </c>
      <c r="J100" s="113" t="b">
        <f>AND(G76&gt;$D$83,G76&lt;$D$84)</f>
        <v>1</v>
      </c>
      <c r="K100" s="113"/>
      <c r="L100" s="115"/>
      <c r="M100" s="45" t="s">
        <v>147</v>
      </c>
      <c r="N100" s="113" t="b">
        <f>AND(K76&gt;$D$83,K76&lt;$D$84)</f>
        <v>0</v>
      </c>
      <c r="O100" s="113"/>
      <c r="P100" s="115"/>
    </row>
    <row r="101" spans="2:16" s="36" customFormat="1" hidden="1">
      <c r="B101" s="117"/>
      <c r="C101" s="117"/>
      <c r="D101" s="117"/>
      <c r="E101" s="45" t="s">
        <v>3</v>
      </c>
      <c r="F101" s="113" t="b">
        <f>AND(C77&gt;$D$83,C77&lt;$D$84)</f>
        <v>0</v>
      </c>
      <c r="G101" s="113"/>
      <c r="H101" s="116"/>
      <c r="I101" s="45" t="s">
        <v>148</v>
      </c>
      <c r="J101" s="113" t="b">
        <f>AND(G77&gt;$D$83,G77&lt;$D$84)</f>
        <v>0</v>
      </c>
      <c r="K101" s="113"/>
      <c r="L101" s="116"/>
      <c r="M101" s="45" t="s">
        <v>148</v>
      </c>
      <c r="N101" s="113" t="b">
        <f>AND(K77&gt;$D$83,K77&lt;$D$84)</f>
        <v>0</v>
      </c>
      <c r="O101" s="113"/>
      <c r="P101" s="116"/>
    </row>
    <row r="102" spans="2:16" s="36" customFormat="1" hidden="1">
      <c r="B102" s="112"/>
      <c r="C102" s="112"/>
      <c r="D102" s="112"/>
      <c r="E102" s="109" t="str">
        <f>B150</f>
        <v>PEP</v>
      </c>
      <c r="F102" s="110"/>
      <c r="G102" s="110"/>
      <c r="H102" s="110"/>
      <c r="I102" s="110"/>
      <c r="J102" s="110"/>
      <c r="K102" s="110"/>
      <c r="L102" s="110"/>
      <c r="M102" s="110"/>
      <c r="N102" s="110"/>
      <c r="O102" s="110"/>
      <c r="P102" s="111"/>
    </row>
    <row r="103" spans="2:16" s="36" customFormat="1" hidden="1">
      <c r="B103" s="112"/>
      <c r="C103" s="112"/>
      <c r="D103" s="112"/>
      <c r="E103" s="124" t="b">
        <f>AND(H98,L98,P98)</f>
        <v>0</v>
      </c>
      <c r="F103" s="125"/>
      <c r="G103" s="125"/>
      <c r="H103" s="125"/>
      <c r="I103" s="125"/>
      <c r="J103" s="125"/>
      <c r="K103" s="125"/>
      <c r="L103" s="125"/>
      <c r="M103" s="125"/>
      <c r="N103" s="125"/>
      <c r="O103" s="125"/>
      <c r="P103" s="126"/>
    </row>
    <row r="104" spans="2:16" s="36" customFormat="1" hidden="1">
      <c r="B104" s="117"/>
      <c r="C104" s="117"/>
      <c r="D104" s="117"/>
      <c r="E104" s="118" t="str">
        <f>B151</f>
        <v>POSG1</v>
      </c>
      <c r="F104" s="119"/>
      <c r="G104" s="119"/>
      <c r="H104" s="119"/>
      <c r="I104" s="119"/>
      <c r="J104" s="119"/>
      <c r="K104" s="119"/>
      <c r="L104" s="119"/>
      <c r="M104" s="119"/>
      <c r="N104" s="119"/>
      <c r="O104" s="119"/>
      <c r="P104" s="120"/>
    </row>
    <row r="105" spans="2:16" s="36" customFormat="1" hidden="1">
      <c r="B105" s="117"/>
      <c r="C105" s="117"/>
      <c r="D105" s="117"/>
      <c r="E105" s="117" t="str">
        <f>E96</f>
        <v>RESPUESTAS MAS</v>
      </c>
      <c r="F105" s="117"/>
      <c r="G105" s="117"/>
      <c r="H105" s="117"/>
      <c r="I105" s="47"/>
      <c r="J105" s="47"/>
      <c r="K105" s="47"/>
      <c r="L105" s="47"/>
      <c r="M105" s="47"/>
      <c r="N105" s="47"/>
      <c r="O105" s="47"/>
      <c r="P105" s="47"/>
    </row>
    <row r="106" spans="2:16" s="36" customFormat="1" hidden="1">
      <c r="B106" s="117"/>
      <c r="C106" s="117"/>
      <c r="D106" s="117"/>
      <c r="E106" s="45" t="s">
        <v>0</v>
      </c>
      <c r="F106" s="118" t="b">
        <f>AND(C74&gt;$D$84)</f>
        <v>1</v>
      </c>
      <c r="G106" s="120"/>
      <c r="H106" s="114" t="b">
        <f>AND(F106,F107,F108,F109)</f>
        <v>0</v>
      </c>
      <c r="I106" s="45"/>
      <c r="J106" s="45"/>
      <c r="K106" s="45"/>
      <c r="L106" s="45"/>
      <c r="M106" s="45"/>
      <c r="N106" s="45"/>
      <c r="O106" s="45"/>
      <c r="P106" s="45"/>
    </row>
    <row r="107" spans="2:16" s="36" customFormat="1" hidden="1">
      <c r="B107" s="117"/>
      <c r="C107" s="117"/>
      <c r="D107" s="117"/>
      <c r="E107" s="45" t="s">
        <v>1</v>
      </c>
      <c r="F107" s="118" t="b">
        <f>AND(C75&gt;$D$84)</f>
        <v>1</v>
      </c>
      <c r="G107" s="120"/>
      <c r="H107" s="115"/>
      <c r="I107" s="45"/>
      <c r="J107" s="45"/>
      <c r="K107" s="45"/>
      <c r="L107" s="45"/>
      <c r="M107" s="45"/>
      <c r="N107" s="45"/>
      <c r="O107" s="45"/>
      <c r="P107" s="45"/>
    </row>
    <row r="108" spans="2:16" s="36" customFormat="1" hidden="1">
      <c r="B108" s="117"/>
      <c r="C108" s="117"/>
      <c r="D108" s="117"/>
      <c r="E108" s="45" t="s">
        <v>2</v>
      </c>
      <c r="F108" s="118" t="b">
        <f>AND(C76&gt;$D$84)</f>
        <v>1</v>
      </c>
      <c r="G108" s="120"/>
      <c r="H108" s="115"/>
      <c r="I108" s="45"/>
      <c r="J108" s="45"/>
      <c r="K108" s="45"/>
      <c r="L108" s="45"/>
      <c r="M108" s="45"/>
      <c r="N108" s="45"/>
      <c r="O108" s="45"/>
      <c r="P108" s="45"/>
    </row>
    <row r="109" spans="2:16" s="36" customFormat="1" hidden="1">
      <c r="B109" s="117"/>
      <c r="C109" s="117"/>
      <c r="D109" s="117"/>
      <c r="E109" s="45" t="s">
        <v>3</v>
      </c>
      <c r="F109" s="118" t="b">
        <f>AND(C77&gt;$D$84)</f>
        <v>0</v>
      </c>
      <c r="G109" s="120"/>
      <c r="H109" s="116"/>
      <c r="I109" s="45"/>
      <c r="J109" s="45"/>
      <c r="K109" s="45"/>
      <c r="L109" s="45"/>
      <c r="M109" s="45"/>
      <c r="N109" s="45"/>
      <c r="O109" s="45"/>
      <c r="P109" s="45"/>
    </row>
    <row r="110" spans="2:16" s="36" customFormat="1" hidden="1">
      <c r="B110" s="112"/>
      <c r="C110" s="112"/>
      <c r="D110" s="112"/>
      <c r="E110" s="109" t="str">
        <f>B152</f>
        <v>PUSG1</v>
      </c>
      <c r="F110" s="110"/>
      <c r="G110" s="110"/>
      <c r="H110" s="110"/>
      <c r="I110" s="110"/>
      <c r="J110" s="110"/>
      <c r="K110" s="110"/>
      <c r="L110" s="110"/>
      <c r="M110" s="110"/>
      <c r="N110" s="110"/>
      <c r="O110" s="110"/>
      <c r="P110" s="111"/>
    </row>
    <row r="111" spans="2:16" s="36" customFormat="1" hidden="1">
      <c r="B111" s="112"/>
      <c r="C111" s="112"/>
      <c r="D111" s="112"/>
      <c r="E111" s="112" t="str">
        <f>E105</f>
        <v>RESPUESTAS MAS</v>
      </c>
      <c r="F111" s="112"/>
      <c r="G111" s="112"/>
      <c r="H111" s="112"/>
      <c r="I111" s="48"/>
      <c r="J111" s="48"/>
      <c r="K111" s="48"/>
      <c r="L111" s="48"/>
      <c r="M111" s="48"/>
      <c r="N111" s="48"/>
      <c r="O111" s="48"/>
      <c r="P111" s="48"/>
    </row>
    <row r="112" spans="2:16" s="36" customFormat="1" hidden="1">
      <c r="B112" s="112"/>
      <c r="C112" s="112"/>
      <c r="D112" s="112"/>
      <c r="E112" s="46" t="s">
        <v>0</v>
      </c>
      <c r="F112" s="109" t="b">
        <f>AND(C74&lt;$D$83)</f>
        <v>0</v>
      </c>
      <c r="G112" s="111"/>
      <c r="H112" s="131" t="b">
        <f>AND(F112,F113,F114,F115)</f>
        <v>0</v>
      </c>
      <c r="I112" s="46"/>
      <c r="J112" s="46"/>
      <c r="K112" s="46"/>
      <c r="L112" s="46"/>
      <c r="M112" s="46"/>
      <c r="N112" s="46"/>
      <c r="O112" s="46"/>
      <c r="P112" s="46"/>
    </row>
    <row r="113" spans="2:18" s="36" customFormat="1" hidden="1">
      <c r="B113" s="112"/>
      <c r="C113" s="112"/>
      <c r="D113" s="112"/>
      <c r="E113" s="46" t="s">
        <v>1</v>
      </c>
      <c r="F113" s="109" t="b">
        <f t="shared" ref="F113:F114" si="0">AND(C75&lt;$D$83)</f>
        <v>0</v>
      </c>
      <c r="G113" s="111"/>
      <c r="H113" s="132"/>
      <c r="I113" s="46"/>
      <c r="J113" s="46"/>
      <c r="K113" s="46"/>
      <c r="L113" s="46"/>
      <c r="M113" s="46"/>
      <c r="N113" s="46"/>
      <c r="O113" s="46"/>
      <c r="P113" s="46"/>
    </row>
    <row r="114" spans="2:18" s="36" customFormat="1" hidden="1">
      <c r="B114" s="112"/>
      <c r="C114" s="112"/>
      <c r="D114" s="112"/>
      <c r="E114" s="46" t="s">
        <v>2</v>
      </c>
      <c r="F114" s="109" t="b">
        <f t="shared" si="0"/>
        <v>0</v>
      </c>
      <c r="G114" s="111"/>
      <c r="H114" s="132"/>
      <c r="I114" s="46"/>
      <c r="J114" s="46"/>
      <c r="K114" s="46"/>
      <c r="L114" s="46"/>
      <c r="M114" s="46"/>
      <c r="N114" s="46"/>
      <c r="O114" s="46"/>
      <c r="P114" s="46"/>
    </row>
    <row r="115" spans="2:18" s="36" customFormat="1" hidden="1">
      <c r="B115" s="112"/>
      <c r="C115" s="112"/>
      <c r="D115" s="112"/>
      <c r="E115" s="46" t="s">
        <v>3</v>
      </c>
      <c r="F115" s="109" t="b">
        <f>AND(C77&lt;$D$83)</f>
        <v>1</v>
      </c>
      <c r="G115" s="111"/>
      <c r="H115" s="133"/>
      <c r="I115" s="46"/>
      <c r="J115" s="46"/>
      <c r="K115" s="46"/>
      <c r="L115" s="46"/>
      <c r="M115" s="46"/>
      <c r="N115" s="46"/>
      <c r="O115" s="46"/>
      <c r="P115" s="46"/>
    </row>
    <row r="116" spans="2:18" s="36" customFormat="1" hidden="1">
      <c r="B116" s="98"/>
      <c r="C116" s="98"/>
      <c r="D116" s="98"/>
      <c r="E116" s="98" t="str">
        <f>IF(E103=TRUE,E102,IF(H98=TRUE,E97,IF(H106=TRUE,E104,IF(H112=TRUE,E110,IF(H88=TRUE,E87,IF(H93=TRUE,E92,B80))))))</f>
        <v>DC</v>
      </c>
      <c r="F116" s="98"/>
      <c r="G116" s="98"/>
      <c r="H116" s="98"/>
      <c r="I116" s="98" t="str">
        <f>IF(E103=TRUE,E102,IF(L98=TRUE,I97,IF(L88=TRUE,I87,IF(L93=TRUE,I92,F80))))</f>
        <v>DI</v>
      </c>
      <c r="J116" s="98"/>
      <c r="K116" s="98"/>
      <c r="L116" s="98"/>
      <c r="M116" s="98" t="str">
        <f>IF(E103=TRUE,E102,IF(P98=TRUE,M97,IF(P88=TRUE,M87,IF(P93=TRUE,M92,J80))))</f>
        <v>CS</v>
      </c>
      <c r="N116" s="98"/>
      <c r="O116" s="98"/>
      <c r="P116" s="98"/>
    </row>
    <row r="117" spans="2:18" s="36" customFormat="1" hidden="1">
      <c r="B117" s="98"/>
      <c r="C117" s="98"/>
      <c r="D117" s="98"/>
      <c r="E117" s="98"/>
      <c r="F117" s="98"/>
      <c r="G117" s="98"/>
      <c r="H117" s="98"/>
      <c r="I117" s="98"/>
      <c r="J117" s="98"/>
      <c r="K117" s="98"/>
      <c r="L117" s="98"/>
      <c r="M117" s="98"/>
      <c r="N117" s="98"/>
      <c r="O117" s="98"/>
      <c r="P117" s="98"/>
    </row>
    <row r="118" spans="2:18" s="36" customFormat="1" hidden="1">
      <c r="B118" s="98"/>
      <c r="C118" s="98"/>
      <c r="D118" s="98"/>
      <c r="E118" s="98"/>
      <c r="F118" s="98"/>
      <c r="G118" s="98"/>
      <c r="H118" s="98"/>
      <c r="I118" s="98"/>
      <c r="J118" s="98"/>
      <c r="K118" s="98"/>
      <c r="L118" s="98"/>
      <c r="M118" s="98"/>
      <c r="N118" s="98"/>
      <c r="O118" s="98"/>
      <c r="P118" s="98"/>
    </row>
    <row r="119" spans="2:18" s="36" customFormat="1" hidden="1">
      <c r="B119" s="40" t="s">
        <v>151</v>
      </c>
      <c r="C119" s="40"/>
      <c r="D119" s="49"/>
      <c r="E119" s="50"/>
      <c r="F119" s="50"/>
      <c r="G119" s="50"/>
      <c r="H119" s="50"/>
      <c r="I119" s="50"/>
      <c r="J119" s="50"/>
      <c r="K119" s="50"/>
      <c r="L119" s="50"/>
      <c r="M119" s="50"/>
      <c r="N119" s="50"/>
      <c r="O119" s="50"/>
      <c r="P119" s="50"/>
    </row>
    <row r="120" spans="2:18" s="36" customFormat="1" hidden="1">
      <c r="B120" s="40"/>
      <c r="C120" s="51" t="s">
        <v>152</v>
      </c>
      <c r="D120" s="51"/>
      <c r="E120" s="51"/>
      <c r="F120" s="51"/>
      <c r="G120" s="51"/>
      <c r="H120" s="51"/>
      <c r="I120" s="51"/>
      <c r="J120" s="51"/>
      <c r="K120" s="51"/>
      <c r="L120" s="51"/>
      <c r="M120" s="51"/>
      <c r="N120" s="51"/>
      <c r="O120" s="51"/>
      <c r="P120" s="51"/>
    </row>
    <row r="121" spans="2:18" s="36" customFormat="1" hidden="1">
      <c r="B121" s="40" t="s">
        <v>155</v>
      </c>
      <c r="C121" s="52" t="s">
        <v>140</v>
      </c>
      <c r="D121" s="52" t="s">
        <v>153</v>
      </c>
      <c r="E121" s="52" t="s">
        <v>141</v>
      </c>
      <c r="F121" s="52" t="s">
        <v>154</v>
      </c>
      <c r="G121" s="52" t="s">
        <v>149</v>
      </c>
      <c r="H121" s="52" t="s">
        <v>117</v>
      </c>
      <c r="I121" s="51"/>
      <c r="J121" s="51"/>
      <c r="K121" s="51"/>
      <c r="L121" s="51"/>
      <c r="M121" s="51"/>
      <c r="N121" s="51"/>
      <c r="O121" s="51"/>
      <c r="P121" s="51"/>
      <c r="Q121" s="51"/>
      <c r="R121" s="51"/>
    </row>
    <row r="122" spans="2:18" s="36" customFormat="1" hidden="1">
      <c r="B122" s="40" t="s">
        <v>156</v>
      </c>
      <c r="C122" s="52" t="s">
        <v>140</v>
      </c>
      <c r="D122" s="52" t="s">
        <v>153</v>
      </c>
      <c r="E122" s="52" t="s">
        <v>149</v>
      </c>
      <c r="F122" s="52" t="s">
        <v>117</v>
      </c>
      <c r="G122" s="51"/>
      <c r="H122" s="51"/>
      <c r="I122" s="51"/>
      <c r="J122" s="51"/>
      <c r="K122" s="51"/>
      <c r="L122" s="51"/>
      <c r="M122" s="51"/>
      <c r="N122" s="51"/>
      <c r="O122" s="51"/>
      <c r="P122" s="51"/>
    </row>
    <row r="123" spans="2:18" s="36" customFormat="1" hidden="1">
      <c r="B123" s="40" t="s">
        <v>3</v>
      </c>
      <c r="C123" s="52" t="s">
        <v>140</v>
      </c>
      <c r="D123" s="52" t="s">
        <v>153</v>
      </c>
      <c r="E123" s="52" t="s">
        <v>149</v>
      </c>
      <c r="F123" s="52" t="s">
        <v>117</v>
      </c>
      <c r="G123" s="51"/>
      <c r="H123" s="51"/>
      <c r="I123" s="51"/>
      <c r="J123" s="51"/>
      <c r="K123" s="51"/>
      <c r="L123" s="51"/>
      <c r="M123" s="51"/>
      <c r="N123" s="51"/>
      <c r="O123" s="51"/>
      <c r="P123" s="51"/>
    </row>
    <row r="124" spans="2:18" s="36" customFormat="1" hidden="1">
      <c r="B124" s="40"/>
      <c r="C124" s="40"/>
      <c r="F124" s="40"/>
      <c r="G124" s="40"/>
      <c r="J124" s="40"/>
      <c r="K124" s="40"/>
    </row>
    <row r="125" spans="2:18" s="19" customFormat="1" hidden="1">
      <c r="B125" s="53"/>
      <c r="C125" s="27" t="s">
        <v>7</v>
      </c>
      <c r="D125" s="27" t="s">
        <v>8</v>
      </c>
      <c r="E125" s="27" t="s">
        <v>102</v>
      </c>
    </row>
    <row r="126" spans="2:18" s="19" customFormat="1" hidden="1">
      <c r="B126" s="18" t="s">
        <v>0</v>
      </c>
      <c r="C126" s="54">
        <f>Registro!C11+Registro!C15+Registro!C22+Registro!C28+Registro!C36+Registro!C40+Registro!C48+Registro!C54+Registro!G9+Registro!G16+Registro!G23+Registro!G29+Registro!G35+Registro!G39+Registro!G46+Registro!G52+Registro!K9+Registro!K18+Registro!K24+Registro!K29+Registro!K34+Registro!K41+Registro!K45+Registro!K52</f>
        <v>4</v>
      </c>
      <c r="D126" s="54">
        <f>Registro!D11+Registro!D15+Registro!D22+Registro!D28+Registro!D36+Registro!D40+Registro!D48+Registro!D54+Registro!H9+Registro!H16+Registro!H23+Registro!H29+Registro!H35+Registro!H39+Registro!H46+Registro!H52+Registro!L9+Registro!L18+Registro!L24+Registro!L29+Registro!L34+Registro!L41+Registro!L45+Registro!L52</f>
        <v>7</v>
      </c>
      <c r="E126" s="54">
        <f>C126-D126</f>
        <v>-3</v>
      </c>
    </row>
    <row r="127" spans="2:18" s="19" customFormat="1" hidden="1">
      <c r="B127" s="18" t="s">
        <v>1</v>
      </c>
      <c r="C127" s="54">
        <f>Registro!C9+Registro!C17+Registro!C24+Registro!C30+Registro!C34+Registro!C42+Registro!C46+Registro!C53+Registro!G10+Registro!G17+Registro!G22+Registro!G27+Registro!G33+Registro!G41+Registro!G48+Registro!G51+Registro!K10+Registro!K17+Registro!K21+Registro!K30+Registro!K36+Registro!K40+Registro!K46+Registro!K51</f>
        <v>4</v>
      </c>
      <c r="D127" s="54">
        <f>Registro!D9+Registro!D17+Registro!D24+Registro!D30+Registro!D34+Registro!D42+Registro!D46+Registro!D53+Registro!H10+Registro!H17+Registro!H22+Registro!H27+Registro!H33+Registro!H41+Registro!H48+Registro!H51+Registro!L10+Registro!L17+Registro!L21+Registro!L30+Registro!L36+Registro!L40+Registro!L46+Registro!L51</f>
        <v>9</v>
      </c>
      <c r="E127" s="54">
        <f t="shared" ref="E127:E130" si="1">C127-D127</f>
        <v>-5</v>
      </c>
    </row>
    <row r="128" spans="2:18" s="19" customFormat="1" hidden="1">
      <c r="B128" s="18" t="s">
        <v>2</v>
      </c>
      <c r="C128" s="54">
        <f>Registro!C12+Registro!C18+Registro!C23+Registro!C29+Registro!C33+Registro!C41+Registro!C47+Registro!C52+Registro!G11+Registro!G15+Registro!G24+Registro!G30+Registro!G36+Registro!G42+Registro!G47+Registro!G53+Registro!K12+Registro!K16+Registro!K22+Registro!K28+Registro!K33+Registro!K39+Registro!K47++Registro!K53</f>
        <v>2</v>
      </c>
      <c r="D128" s="54">
        <f>Registro!D12+Registro!D18+Registro!D23+Registro!D29+Registro!D33+Registro!D41+Registro!D47+Registro!D52+Registro!H11+Registro!H15+Registro!H24+Registro!H30+Registro!H36+Registro!H42+Registro!H47+Registro!H53+Registro!L12+Registro!L16+Registro!L22+Registro!L28+Registro!L33+Registro!L39+Registro!L47++Registro!L53</f>
        <v>4</v>
      </c>
      <c r="E128" s="54">
        <f t="shared" si="1"/>
        <v>-2</v>
      </c>
    </row>
    <row r="129" spans="2:5" s="19" customFormat="1" hidden="1">
      <c r="B129" s="18" t="s">
        <v>3</v>
      </c>
      <c r="C129" s="54">
        <f>Registro!C10+Registro!C16+Registro!C21+Registro!C27+Registro!C35+Registro!C39+Registro!C45+Registro!C51+Registro!G12+Registro!G18+Registro!G21+Registro!G28+Registro!G34+Registro!G40+Registro!G45+Registro!G54+Registro!K11+Registro!K15+Registro!K23+Registro!K27+Registro!K35+Registro!K42+Registro!K48+Registro!K54</f>
        <v>14</v>
      </c>
      <c r="D129" s="54">
        <f>Registro!D10+Registro!D16+Registro!D21+Registro!D27+Registro!D35+Registro!D39+Registro!D45+Registro!D51+Registro!H12+Registro!H18+Registro!H21+Registro!H28+Registro!H34+Registro!H40+Registro!H45+Registro!H54+Registro!L11+Registro!L15+Registro!L23+Registro!L27+Registro!L35+Registro!L42+Registro!L48+Registro!L54</f>
        <v>4</v>
      </c>
      <c r="E129" s="54">
        <f t="shared" si="1"/>
        <v>10</v>
      </c>
    </row>
    <row r="130" spans="2:5" s="19" customFormat="1" hidden="1">
      <c r="B130" s="18" t="s">
        <v>103</v>
      </c>
      <c r="C130" s="54">
        <f>SUM(C126:C129)</f>
        <v>24</v>
      </c>
      <c r="D130" s="54">
        <f>SUM(D126:D129)</f>
        <v>24</v>
      </c>
      <c r="E130" s="54">
        <f t="shared" si="1"/>
        <v>0</v>
      </c>
    </row>
    <row r="131" spans="2:5" s="19" customFormat="1" hidden="1"/>
    <row r="132" spans="2:5" s="19" customFormat="1" ht="20.25" hidden="1">
      <c r="B132" s="55" t="s">
        <v>118</v>
      </c>
    </row>
    <row r="133" spans="2:5" s="23" customFormat="1" ht="14.25" hidden="1">
      <c r="B133" s="19" t="s">
        <v>105</v>
      </c>
      <c r="C133" s="24" t="s">
        <v>335</v>
      </c>
    </row>
    <row r="134" spans="2:5" s="23" customFormat="1" ht="14.25" hidden="1">
      <c r="B134" s="19" t="s">
        <v>106</v>
      </c>
      <c r="C134" s="24" t="s">
        <v>336</v>
      </c>
    </row>
    <row r="135" spans="2:5" s="23" customFormat="1" ht="14.25" hidden="1">
      <c r="B135" s="19" t="s">
        <v>107</v>
      </c>
      <c r="C135" s="24" t="s">
        <v>126</v>
      </c>
    </row>
    <row r="136" spans="2:5" s="23" customFormat="1" ht="14.25" hidden="1">
      <c r="B136" s="19" t="s">
        <v>108</v>
      </c>
      <c r="C136" s="24" t="s">
        <v>127</v>
      </c>
    </row>
    <row r="137" spans="2:5" s="23" customFormat="1" ht="14.25" hidden="1">
      <c r="B137" s="19" t="s">
        <v>109</v>
      </c>
      <c r="C137" s="24" t="s">
        <v>128</v>
      </c>
    </row>
    <row r="138" spans="2:5" s="23" customFormat="1" ht="14.25" hidden="1">
      <c r="B138" s="19" t="s">
        <v>110</v>
      </c>
      <c r="C138" s="24" t="s">
        <v>129</v>
      </c>
    </row>
    <row r="139" spans="2:5" s="23" customFormat="1" ht="14.25" hidden="1">
      <c r="B139" s="19" t="s">
        <v>111</v>
      </c>
      <c r="C139" s="24" t="s">
        <v>130</v>
      </c>
    </row>
    <row r="140" spans="2:5" s="23" customFormat="1" ht="14.25" hidden="1">
      <c r="B140" s="19" t="s">
        <v>112</v>
      </c>
      <c r="C140" s="24" t="s">
        <v>131</v>
      </c>
    </row>
    <row r="141" spans="2:5" s="23" customFormat="1" ht="14.25" hidden="1">
      <c r="B141" s="19" t="s">
        <v>113</v>
      </c>
      <c r="C141" s="24" t="s">
        <v>132</v>
      </c>
    </row>
    <row r="142" spans="2:5" s="23" customFormat="1" ht="14.25" hidden="1">
      <c r="B142" s="19" t="s">
        <v>114</v>
      </c>
      <c r="C142" s="24" t="s">
        <v>133</v>
      </c>
    </row>
    <row r="143" spans="2:5" s="23" customFormat="1" ht="14.25" hidden="1">
      <c r="B143" s="19" t="s">
        <v>115</v>
      </c>
      <c r="C143" s="24" t="s">
        <v>134</v>
      </c>
    </row>
    <row r="144" spans="2:5" s="23" customFormat="1" ht="14.25" hidden="1">
      <c r="B144" s="19" t="s">
        <v>116</v>
      </c>
      <c r="C144" s="24" t="s">
        <v>135</v>
      </c>
    </row>
    <row r="145" spans="2:11" s="23" customFormat="1" ht="14.25" hidden="1">
      <c r="B145" s="19" t="s">
        <v>149</v>
      </c>
      <c r="C145" s="24" t="s">
        <v>337</v>
      </c>
      <c r="D145" s="24" t="s">
        <v>120</v>
      </c>
    </row>
    <row r="146" spans="2:11" s="23" customFormat="1" ht="14.25" hidden="1">
      <c r="B146" s="19" t="s">
        <v>117</v>
      </c>
      <c r="C146" s="24" t="s">
        <v>119</v>
      </c>
      <c r="D146" s="24" t="s">
        <v>121</v>
      </c>
    </row>
    <row r="147" spans="2:11" s="19" customFormat="1" hidden="1">
      <c r="B147" s="19" t="s">
        <v>137</v>
      </c>
      <c r="C147" s="24" t="s">
        <v>349</v>
      </c>
    </row>
    <row r="148" spans="2:11" s="19" customFormat="1" hidden="1">
      <c r="B148" s="19" t="s">
        <v>138</v>
      </c>
      <c r="C148" s="24" t="s">
        <v>350</v>
      </c>
    </row>
    <row r="149" spans="2:11" s="19" customFormat="1" hidden="1">
      <c r="B149" s="19" t="s">
        <v>139</v>
      </c>
      <c r="C149" s="24" t="s">
        <v>351</v>
      </c>
    </row>
    <row r="150" spans="2:11" s="19" customFormat="1" hidden="1">
      <c r="B150" s="19" t="s">
        <v>140</v>
      </c>
      <c r="C150" s="24" t="s">
        <v>352</v>
      </c>
    </row>
    <row r="151" spans="2:11" s="19" customFormat="1" hidden="1">
      <c r="B151" s="19" t="s">
        <v>141</v>
      </c>
      <c r="C151" s="24" t="s">
        <v>338</v>
      </c>
    </row>
    <row r="152" spans="2:11" s="19" customFormat="1" hidden="1">
      <c r="B152" s="19" t="s">
        <v>142</v>
      </c>
      <c r="C152" s="24" t="s">
        <v>339</v>
      </c>
    </row>
    <row r="153" spans="2:11" s="19" customFormat="1" hidden="1"/>
    <row r="154" spans="2:11" hidden="1"/>
    <row r="155" spans="2:11" ht="20.25" hidden="1">
      <c r="B155" s="108" t="s">
        <v>182</v>
      </c>
      <c r="C155" s="108"/>
      <c r="D155" s="108"/>
      <c r="E155" s="108"/>
      <c r="F155" s="108"/>
      <c r="G155" s="108"/>
      <c r="H155" s="108"/>
      <c r="I155" s="108"/>
      <c r="J155" s="108"/>
      <c r="K155" s="108"/>
    </row>
    <row r="156" spans="2:11" ht="24.95" hidden="1" customHeight="1">
      <c r="B156" s="127" t="s">
        <v>161</v>
      </c>
      <c r="C156" s="128"/>
      <c r="D156" s="129"/>
      <c r="E156" s="130" t="s">
        <v>317</v>
      </c>
      <c r="F156" s="130"/>
      <c r="G156" s="130"/>
      <c r="H156" s="130"/>
      <c r="I156" s="130"/>
      <c r="J156" s="130"/>
      <c r="K156" s="130"/>
    </row>
    <row r="157" spans="2:11" ht="24.95" hidden="1" customHeight="1">
      <c r="B157" s="127" t="s">
        <v>162</v>
      </c>
      <c r="C157" s="128"/>
      <c r="D157" s="129"/>
      <c r="E157" s="130" t="s">
        <v>193</v>
      </c>
      <c r="F157" s="130"/>
      <c r="G157" s="130"/>
      <c r="H157" s="130"/>
      <c r="I157" s="130"/>
      <c r="J157" s="130"/>
      <c r="K157" s="130"/>
    </row>
    <row r="158" spans="2:11" ht="24.95" hidden="1" customHeight="1">
      <c r="B158" s="127" t="s">
        <v>163</v>
      </c>
      <c r="C158" s="128"/>
      <c r="D158" s="129"/>
      <c r="E158" s="130" t="s">
        <v>194</v>
      </c>
      <c r="F158" s="130"/>
      <c r="G158" s="130"/>
      <c r="H158" s="130"/>
      <c r="I158" s="130"/>
      <c r="J158" s="130"/>
      <c r="K158" s="130"/>
    </row>
    <row r="159" spans="2:11" ht="24.95" hidden="1" customHeight="1">
      <c r="B159" s="127" t="s">
        <v>164</v>
      </c>
      <c r="C159" s="128"/>
      <c r="D159" s="129"/>
      <c r="E159" s="130" t="s">
        <v>310</v>
      </c>
      <c r="F159" s="130"/>
      <c r="G159" s="130"/>
      <c r="H159" s="130"/>
      <c r="I159" s="130"/>
      <c r="J159" s="130"/>
      <c r="K159" s="130"/>
    </row>
    <row r="160" spans="2:11" ht="24.95" hidden="1" customHeight="1">
      <c r="B160" s="127" t="s">
        <v>165</v>
      </c>
      <c r="C160" s="128"/>
      <c r="D160" s="129"/>
      <c r="E160" s="130" t="s">
        <v>195</v>
      </c>
      <c r="F160" s="130"/>
      <c r="G160" s="130"/>
      <c r="H160" s="130"/>
      <c r="I160" s="130"/>
      <c r="J160" s="130"/>
      <c r="K160" s="130"/>
    </row>
    <row r="161" spans="2:14" ht="24.95" hidden="1" customHeight="1">
      <c r="B161" s="127" t="s">
        <v>166</v>
      </c>
      <c r="C161" s="128"/>
      <c r="D161" s="129"/>
      <c r="E161" s="130" t="s">
        <v>196</v>
      </c>
      <c r="F161" s="130"/>
      <c r="G161" s="130"/>
      <c r="H161" s="130"/>
      <c r="I161" s="130"/>
      <c r="J161" s="130"/>
      <c r="K161" s="130"/>
    </row>
    <row r="162" spans="2:14" ht="24.95" hidden="1" customHeight="1">
      <c r="B162" s="127" t="s">
        <v>167</v>
      </c>
      <c r="C162" s="128"/>
      <c r="D162" s="129"/>
      <c r="E162" s="130" t="s">
        <v>318</v>
      </c>
      <c r="F162" s="130"/>
      <c r="G162" s="130"/>
      <c r="H162" s="130"/>
      <c r="I162" s="130"/>
      <c r="J162" s="130"/>
      <c r="K162" s="130"/>
    </row>
    <row r="163" spans="2:14" ht="24.95" hidden="1" customHeight="1">
      <c r="B163" s="127" t="s">
        <v>168</v>
      </c>
      <c r="C163" s="128"/>
      <c r="D163" s="129"/>
      <c r="E163" s="130" t="s">
        <v>311</v>
      </c>
      <c r="F163" s="130"/>
      <c r="G163" s="130"/>
      <c r="H163" s="130"/>
      <c r="I163" s="130"/>
      <c r="J163" s="130"/>
      <c r="K163" s="130"/>
    </row>
    <row r="164" spans="2:14" ht="35.1" hidden="1" customHeight="1">
      <c r="B164" s="127" t="s">
        <v>169</v>
      </c>
      <c r="C164" s="128"/>
      <c r="D164" s="129"/>
      <c r="E164" s="130" t="s">
        <v>197</v>
      </c>
      <c r="F164" s="130"/>
      <c r="G164" s="130"/>
      <c r="H164" s="130"/>
      <c r="I164" s="130"/>
      <c r="J164" s="130"/>
      <c r="K164" s="130"/>
    </row>
    <row r="165" spans="2:14" ht="150" hidden="1" customHeight="1">
      <c r="B165" s="127" t="s">
        <v>170</v>
      </c>
      <c r="C165" s="128"/>
      <c r="D165" s="129"/>
      <c r="E165" s="130" t="s">
        <v>312</v>
      </c>
      <c r="F165" s="130"/>
      <c r="G165" s="130"/>
      <c r="H165" s="130"/>
      <c r="I165" s="130"/>
      <c r="J165" s="130"/>
      <c r="K165" s="130"/>
    </row>
    <row r="166" spans="2:14" hidden="1"/>
    <row r="167" spans="2:14" hidden="1"/>
    <row r="168" spans="2:14" ht="20.25" hidden="1">
      <c r="B168" s="108" t="s">
        <v>143</v>
      </c>
      <c r="C168" s="108"/>
      <c r="D168" s="108"/>
      <c r="E168" s="108"/>
      <c r="F168" s="108"/>
      <c r="G168" s="108"/>
      <c r="H168" s="108"/>
      <c r="I168" s="108"/>
      <c r="J168" s="108"/>
      <c r="K168" s="108"/>
    </row>
    <row r="169" spans="2:14" ht="24.95" hidden="1" customHeight="1">
      <c r="B169" s="127" t="s">
        <v>161</v>
      </c>
      <c r="C169" s="128"/>
      <c r="D169" s="129"/>
      <c r="E169" s="130" t="s">
        <v>198</v>
      </c>
      <c r="F169" s="130"/>
      <c r="G169" s="130"/>
      <c r="H169" s="130"/>
      <c r="I169" s="130"/>
      <c r="J169" s="130"/>
      <c r="K169" s="130"/>
      <c r="N169" s="1" t="s">
        <v>207</v>
      </c>
    </row>
    <row r="170" spans="2:14" ht="24.95" hidden="1" customHeight="1">
      <c r="B170" s="127" t="s">
        <v>162</v>
      </c>
      <c r="C170" s="128"/>
      <c r="D170" s="129"/>
      <c r="E170" s="130" t="s">
        <v>199</v>
      </c>
      <c r="F170" s="130"/>
      <c r="G170" s="130"/>
      <c r="H170" s="130"/>
      <c r="I170" s="130"/>
      <c r="J170" s="130"/>
      <c r="K170" s="130"/>
    </row>
    <row r="171" spans="2:14" ht="24.95" hidden="1" customHeight="1">
      <c r="B171" s="127" t="s">
        <v>163</v>
      </c>
      <c r="C171" s="128"/>
      <c r="D171" s="129"/>
      <c r="E171" s="130" t="s">
        <v>200</v>
      </c>
      <c r="F171" s="130"/>
      <c r="G171" s="130"/>
      <c r="H171" s="130"/>
      <c r="I171" s="130"/>
      <c r="J171" s="130"/>
      <c r="K171" s="130"/>
    </row>
    <row r="172" spans="2:14" ht="24.95" hidden="1" customHeight="1">
      <c r="B172" s="127" t="s">
        <v>164</v>
      </c>
      <c r="C172" s="128"/>
      <c r="D172" s="129"/>
      <c r="E172" s="130" t="s">
        <v>201</v>
      </c>
      <c r="F172" s="130"/>
      <c r="G172" s="130"/>
      <c r="H172" s="130"/>
      <c r="I172" s="130"/>
      <c r="J172" s="130"/>
      <c r="K172" s="130"/>
    </row>
    <row r="173" spans="2:14" ht="24.95" hidden="1" customHeight="1">
      <c r="B173" s="127" t="s">
        <v>165</v>
      </c>
      <c r="C173" s="128"/>
      <c r="D173" s="129"/>
      <c r="E173" s="130" t="s">
        <v>202</v>
      </c>
      <c r="F173" s="130"/>
      <c r="G173" s="130"/>
      <c r="H173" s="130"/>
      <c r="I173" s="130"/>
      <c r="J173" s="130"/>
      <c r="K173" s="130"/>
    </row>
    <row r="174" spans="2:14" ht="24.95" hidden="1" customHeight="1">
      <c r="B174" s="127" t="s">
        <v>166</v>
      </c>
      <c r="C174" s="128"/>
      <c r="D174" s="129"/>
      <c r="E174" s="130" t="s">
        <v>203</v>
      </c>
      <c r="F174" s="130"/>
      <c r="G174" s="130"/>
      <c r="H174" s="130"/>
      <c r="I174" s="130"/>
      <c r="J174" s="130"/>
      <c r="K174" s="130"/>
    </row>
    <row r="175" spans="2:14" ht="24.95" hidden="1" customHeight="1">
      <c r="B175" s="127" t="s">
        <v>167</v>
      </c>
      <c r="C175" s="128"/>
      <c r="D175" s="129"/>
      <c r="E175" s="130" t="s">
        <v>204</v>
      </c>
      <c r="F175" s="130"/>
      <c r="G175" s="130"/>
      <c r="H175" s="130"/>
      <c r="I175" s="130"/>
      <c r="J175" s="130"/>
      <c r="K175" s="130"/>
    </row>
    <row r="176" spans="2:14" ht="24.95" hidden="1" customHeight="1">
      <c r="B176" s="127" t="s">
        <v>168</v>
      </c>
      <c r="C176" s="128"/>
      <c r="D176" s="129"/>
      <c r="E176" s="130" t="s">
        <v>205</v>
      </c>
      <c r="F176" s="130"/>
      <c r="G176" s="130"/>
      <c r="H176" s="130"/>
      <c r="I176" s="130"/>
      <c r="J176" s="130"/>
      <c r="K176" s="130"/>
    </row>
    <row r="177" spans="2:11" ht="24.95" hidden="1" customHeight="1">
      <c r="B177" s="127" t="s">
        <v>169</v>
      </c>
      <c r="C177" s="128"/>
      <c r="D177" s="129"/>
      <c r="E177" s="130" t="s">
        <v>206</v>
      </c>
      <c r="F177" s="130"/>
      <c r="G177" s="130"/>
      <c r="H177" s="130"/>
      <c r="I177" s="130"/>
      <c r="J177" s="130"/>
      <c r="K177" s="130"/>
    </row>
    <row r="178" spans="2:11" ht="150" hidden="1" customHeight="1">
      <c r="B178" s="127" t="s">
        <v>170</v>
      </c>
      <c r="C178" s="128"/>
      <c r="D178" s="129"/>
      <c r="E178" s="130" t="s">
        <v>315</v>
      </c>
      <c r="F178" s="130"/>
      <c r="G178" s="130"/>
      <c r="H178" s="130"/>
      <c r="I178" s="130"/>
      <c r="J178" s="130"/>
      <c r="K178" s="130"/>
    </row>
    <row r="179" spans="2:11" hidden="1"/>
    <row r="180" spans="2:11" hidden="1"/>
    <row r="181" spans="2:11" ht="20.25" hidden="1">
      <c r="B181" s="108" t="s">
        <v>183</v>
      </c>
      <c r="C181" s="108"/>
      <c r="D181" s="108"/>
      <c r="E181" s="108"/>
      <c r="F181" s="108"/>
      <c r="G181" s="108"/>
      <c r="H181" s="108"/>
      <c r="I181" s="108"/>
      <c r="J181" s="108"/>
      <c r="K181" s="108"/>
    </row>
    <row r="182" spans="2:11" ht="24.95" hidden="1" customHeight="1">
      <c r="B182" s="127" t="s">
        <v>161</v>
      </c>
      <c r="C182" s="128"/>
      <c r="D182" s="129"/>
      <c r="E182" s="130" t="s">
        <v>208</v>
      </c>
      <c r="F182" s="130"/>
      <c r="G182" s="130"/>
      <c r="H182" s="130"/>
      <c r="I182" s="130"/>
      <c r="J182" s="130"/>
      <c r="K182" s="130"/>
    </row>
    <row r="183" spans="2:11" ht="24.95" hidden="1" customHeight="1">
      <c r="B183" s="127" t="s">
        <v>162</v>
      </c>
      <c r="C183" s="128"/>
      <c r="D183" s="129"/>
      <c r="E183" s="130" t="s">
        <v>209</v>
      </c>
      <c r="F183" s="130"/>
      <c r="G183" s="130"/>
      <c r="H183" s="130"/>
      <c r="I183" s="130"/>
      <c r="J183" s="130"/>
      <c r="K183" s="130"/>
    </row>
    <row r="184" spans="2:11" ht="24.95" hidden="1" customHeight="1">
      <c r="B184" s="127" t="s">
        <v>163</v>
      </c>
      <c r="C184" s="128"/>
      <c r="D184" s="129"/>
      <c r="E184" s="130" t="s">
        <v>210</v>
      </c>
      <c r="F184" s="130"/>
      <c r="G184" s="130"/>
      <c r="H184" s="130"/>
      <c r="I184" s="130"/>
      <c r="J184" s="130"/>
      <c r="K184" s="130"/>
    </row>
    <row r="185" spans="2:11" ht="24.95" hidden="1" customHeight="1">
      <c r="B185" s="127" t="s">
        <v>164</v>
      </c>
      <c r="C185" s="128"/>
      <c r="D185" s="129"/>
      <c r="E185" s="130" t="s">
        <v>211</v>
      </c>
      <c r="F185" s="130"/>
      <c r="G185" s="130"/>
      <c r="H185" s="130"/>
      <c r="I185" s="130"/>
      <c r="J185" s="130"/>
      <c r="K185" s="130"/>
    </row>
    <row r="186" spans="2:11" ht="24.95" hidden="1" customHeight="1">
      <c r="B186" s="127" t="s">
        <v>165</v>
      </c>
      <c r="C186" s="128"/>
      <c r="D186" s="129"/>
      <c r="E186" s="130" t="s">
        <v>212</v>
      </c>
      <c r="F186" s="130"/>
      <c r="G186" s="130"/>
      <c r="H186" s="130"/>
      <c r="I186" s="130"/>
      <c r="J186" s="130"/>
      <c r="K186" s="130"/>
    </row>
    <row r="187" spans="2:11" ht="24.95" hidden="1" customHeight="1">
      <c r="B187" s="127" t="s">
        <v>166</v>
      </c>
      <c r="C187" s="128"/>
      <c r="D187" s="129"/>
      <c r="E187" s="130" t="s">
        <v>213</v>
      </c>
      <c r="F187" s="130"/>
      <c r="G187" s="130"/>
      <c r="H187" s="130"/>
      <c r="I187" s="130"/>
      <c r="J187" s="130"/>
      <c r="K187" s="130"/>
    </row>
    <row r="188" spans="2:11" ht="24.95" hidden="1" customHeight="1">
      <c r="B188" s="127" t="s">
        <v>167</v>
      </c>
      <c r="C188" s="128"/>
      <c r="D188" s="129"/>
      <c r="E188" s="130" t="s">
        <v>313</v>
      </c>
      <c r="F188" s="130"/>
      <c r="G188" s="130"/>
      <c r="H188" s="130"/>
      <c r="I188" s="130"/>
      <c r="J188" s="130"/>
      <c r="K188" s="130"/>
    </row>
    <row r="189" spans="2:11" ht="24.95" hidden="1" customHeight="1">
      <c r="B189" s="127" t="s">
        <v>168</v>
      </c>
      <c r="C189" s="128"/>
      <c r="D189" s="129"/>
      <c r="E189" s="130" t="s">
        <v>214</v>
      </c>
      <c r="F189" s="130"/>
      <c r="G189" s="130"/>
      <c r="H189" s="130"/>
      <c r="I189" s="130"/>
      <c r="J189" s="130"/>
      <c r="K189" s="130"/>
    </row>
    <row r="190" spans="2:11" ht="24.95" hidden="1" customHeight="1">
      <c r="B190" s="127" t="s">
        <v>169</v>
      </c>
      <c r="C190" s="128"/>
      <c r="D190" s="129"/>
      <c r="E190" s="130" t="s">
        <v>215</v>
      </c>
      <c r="F190" s="130"/>
      <c r="G190" s="130"/>
      <c r="H190" s="130"/>
      <c r="I190" s="130"/>
      <c r="J190" s="130"/>
      <c r="K190" s="130"/>
    </row>
    <row r="191" spans="2:11" ht="170.1" hidden="1" customHeight="1">
      <c r="B191" s="127" t="s">
        <v>170</v>
      </c>
      <c r="C191" s="128"/>
      <c r="D191" s="129"/>
      <c r="E191" s="130" t="s">
        <v>314</v>
      </c>
      <c r="F191" s="130"/>
      <c r="G191" s="130"/>
      <c r="H191" s="130"/>
      <c r="I191" s="130"/>
      <c r="J191" s="130"/>
      <c r="K191" s="130"/>
    </row>
    <row r="192" spans="2:11" hidden="1"/>
    <row r="193" spans="2:11" hidden="1"/>
    <row r="194" spans="2:11" ht="20.25" hidden="1">
      <c r="B194" s="108" t="s">
        <v>184</v>
      </c>
      <c r="C194" s="108"/>
      <c r="D194" s="108"/>
      <c r="E194" s="108"/>
      <c r="F194" s="108"/>
      <c r="G194" s="108"/>
      <c r="H194" s="108"/>
      <c r="I194" s="108"/>
      <c r="J194" s="108"/>
      <c r="K194" s="108"/>
    </row>
    <row r="195" spans="2:11" ht="24.95" hidden="1" customHeight="1">
      <c r="B195" s="127" t="s">
        <v>161</v>
      </c>
      <c r="C195" s="128"/>
      <c r="D195" s="129"/>
      <c r="E195" s="130" t="s">
        <v>216</v>
      </c>
      <c r="F195" s="130"/>
      <c r="G195" s="130"/>
      <c r="H195" s="130"/>
      <c r="I195" s="130"/>
      <c r="J195" s="130"/>
      <c r="K195" s="130"/>
    </row>
    <row r="196" spans="2:11" ht="24.95" hidden="1" customHeight="1">
      <c r="B196" s="127" t="s">
        <v>162</v>
      </c>
      <c r="C196" s="128"/>
      <c r="D196" s="129"/>
      <c r="E196" s="130" t="s">
        <v>217</v>
      </c>
      <c r="F196" s="130"/>
      <c r="G196" s="130"/>
      <c r="H196" s="130"/>
      <c r="I196" s="130"/>
      <c r="J196" s="130"/>
      <c r="K196" s="130"/>
    </row>
    <row r="197" spans="2:11" ht="24.95" hidden="1" customHeight="1">
      <c r="B197" s="127" t="s">
        <v>163</v>
      </c>
      <c r="C197" s="128"/>
      <c r="D197" s="129"/>
      <c r="E197" s="130" t="s">
        <v>218</v>
      </c>
      <c r="F197" s="130"/>
      <c r="G197" s="130"/>
      <c r="H197" s="130"/>
      <c r="I197" s="130"/>
      <c r="J197" s="130"/>
      <c r="K197" s="130"/>
    </row>
    <row r="198" spans="2:11" ht="24.95" hidden="1" customHeight="1">
      <c r="B198" s="127" t="s">
        <v>164</v>
      </c>
      <c r="C198" s="128"/>
      <c r="D198" s="129"/>
      <c r="E198" s="130" t="s">
        <v>219</v>
      </c>
      <c r="F198" s="130"/>
      <c r="G198" s="130"/>
      <c r="H198" s="130"/>
      <c r="I198" s="130"/>
      <c r="J198" s="130"/>
      <c r="K198" s="130"/>
    </row>
    <row r="199" spans="2:11" ht="24.95" hidden="1" customHeight="1">
      <c r="B199" s="127" t="s">
        <v>165</v>
      </c>
      <c r="C199" s="128"/>
      <c r="D199" s="129"/>
      <c r="E199" s="130" t="s">
        <v>220</v>
      </c>
      <c r="F199" s="130"/>
      <c r="G199" s="130"/>
      <c r="H199" s="130"/>
      <c r="I199" s="130"/>
      <c r="J199" s="130"/>
      <c r="K199" s="130"/>
    </row>
    <row r="200" spans="2:11" ht="24.95" hidden="1" customHeight="1">
      <c r="B200" s="127" t="s">
        <v>166</v>
      </c>
      <c r="C200" s="128"/>
      <c r="D200" s="129"/>
      <c r="E200" s="130" t="s">
        <v>221</v>
      </c>
      <c r="F200" s="130"/>
      <c r="G200" s="130"/>
      <c r="H200" s="130"/>
      <c r="I200" s="130"/>
      <c r="J200" s="130"/>
      <c r="K200" s="130"/>
    </row>
    <row r="201" spans="2:11" ht="24.95" hidden="1" customHeight="1">
      <c r="B201" s="127" t="s">
        <v>167</v>
      </c>
      <c r="C201" s="128"/>
      <c r="D201" s="129"/>
      <c r="E201" s="130" t="s">
        <v>222</v>
      </c>
      <c r="F201" s="130"/>
      <c r="G201" s="130"/>
      <c r="H201" s="130"/>
      <c r="I201" s="130"/>
      <c r="J201" s="130"/>
      <c r="K201" s="130"/>
    </row>
    <row r="202" spans="2:11" ht="24.95" hidden="1" customHeight="1">
      <c r="B202" s="127" t="s">
        <v>168</v>
      </c>
      <c r="C202" s="128"/>
      <c r="D202" s="129"/>
      <c r="E202" s="130" t="s">
        <v>223</v>
      </c>
      <c r="F202" s="130"/>
      <c r="G202" s="130"/>
      <c r="H202" s="130"/>
      <c r="I202" s="130"/>
      <c r="J202" s="130"/>
      <c r="K202" s="130"/>
    </row>
    <row r="203" spans="2:11" ht="24.95" hidden="1" customHeight="1">
      <c r="B203" s="127" t="s">
        <v>169</v>
      </c>
      <c r="C203" s="128"/>
      <c r="D203" s="129"/>
      <c r="E203" s="130" t="s">
        <v>224</v>
      </c>
      <c r="F203" s="130"/>
      <c r="G203" s="130"/>
      <c r="H203" s="130"/>
      <c r="I203" s="130"/>
      <c r="J203" s="130"/>
      <c r="K203" s="130"/>
    </row>
    <row r="204" spans="2:11" ht="150" hidden="1" customHeight="1">
      <c r="B204" s="127" t="s">
        <v>170</v>
      </c>
      <c r="C204" s="128"/>
      <c r="D204" s="129"/>
      <c r="E204" s="130" t="s">
        <v>316</v>
      </c>
      <c r="F204" s="130"/>
      <c r="G204" s="130"/>
      <c r="H204" s="130"/>
      <c r="I204" s="130"/>
      <c r="J204" s="130"/>
      <c r="K204" s="130"/>
    </row>
    <row r="205" spans="2:11" hidden="1"/>
    <row r="206" spans="2:11" hidden="1"/>
    <row r="207" spans="2:11" ht="20.25" hidden="1">
      <c r="B207" s="108" t="s">
        <v>185</v>
      </c>
      <c r="C207" s="108"/>
      <c r="D207" s="108"/>
      <c r="E207" s="108"/>
      <c r="F207" s="108"/>
      <c r="G207" s="108"/>
      <c r="H207" s="108"/>
      <c r="I207" s="108"/>
      <c r="J207" s="108"/>
      <c r="K207" s="108"/>
    </row>
    <row r="208" spans="2:11" ht="24.95" hidden="1" customHeight="1">
      <c r="B208" s="127" t="s">
        <v>161</v>
      </c>
      <c r="C208" s="128"/>
      <c r="D208" s="129"/>
      <c r="E208" s="130" t="s">
        <v>225</v>
      </c>
      <c r="F208" s="130"/>
      <c r="G208" s="130"/>
      <c r="H208" s="130"/>
      <c r="I208" s="130"/>
      <c r="J208" s="130"/>
      <c r="K208" s="130"/>
    </row>
    <row r="209" spans="2:11" ht="24.95" hidden="1" customHeight="1">
      <c r="B209" s="127" t="s">
        <v>162</v>
      </c>
      <c r="C209" s="128"/>
      <c r="D209" s="129"/>
      <c r="E209" s="130" t="s">
        <v>226</v>
      </c>
      <c r="F209" s="130"/>
      <c r="G209" s="130"/>
      <c r="H209" s="130"/>
      <c r="I209" s="130"/>
      <c r="J209" s="130"/>
      <c r="K209" s="130"/>
    </row>
    <row r="210" spans="2:11" ht="24.95" hidden="1" customHeight="1">
      <c r="B210" s="127" t="s">
        <v>163</v>
      </c>
      <c r="C210" s="128"/>
      <c r="D210" s="129"/>
      <c r="E210" s="130" t="s">
        <v>227</v>
      </c>
      <c r="F210" s="130"/>
      <c r="G210" s="130"/>
      <c r="H210" s="130"/>
      <c r="I210" s="130"/>
      <c r="J210" s="130"/>
      <c r="K210" s="130"/>
    </row>
    <row r="211" spans="2:11" ht="24.95" hidden="1" customHeight="1">
      <c r="B211" s="127" t="s">
        <v>164</v>
      </c>
      <c r="C211" s="128"/>
      <c r="D211" s="129"/>
      <c r="E211" s="130" t="s">
        <v>228</v>
      </c>
      <c r="F211" s="130"/>
      <c r="G211" s="130"/>
      <c r="H211" s="130"/>
      <c r="I211" s="130"/>
      <c r="J211" s="130"/>
      <c r="K211" s="130"/>
    </row>
    <row r="212" spans="2:11" ht="24.95" hidden="1" customHeight="1">
      <c r="B212" s="127" t="s">
        <v>165</v>
      </c>
      <c r="C212" s="128"/>
      <c r="D212" s="129"/>
      <c r="E212" s="130" t="s">
        <v>229</v>
      </c>
      <c r="F212" s="130"/>
      <c r="G212" s="130"/>
      <c r="H212" s="130"/>
      <c r="I212" s="130"/>
      <c r="J212" s="130"/>
      <c r="K212" s="130"/>
    </row>
    <row r="213" spans="2:11" ht="24.95" hidden="1" customHeight="1">
      <c r="B213" s="127" t="s">
        <v>166</v>
      </c>
      <c r="C213" s="128"/>
      <c r="D213" s="129"/>
      <c r="E213" s="130" t="s">
        <v>230</v>
      </c>
      <c r="F213" s="130"/>
      <c r="G213" s="130"/>
      <c r="H213" s="130"/>
      <c r="I213" s="130"/>
      <c r="J213" s="130"/>
      <c r="K213" s="130"/>
    </row>
    <row r="214" spans="2:11" ht="24.95" hidden="1" customHeight="1">
      <c r="B214" s="127" t="s">
        <v>167</v>
      </c>
      <c r="C214" s="128"/>
      <c r="D214" s="129"/>
      <c r="E214" s="130" t="s">
        <v>231</v>
      </c>
      <c r="F214" s="130"/>
      <c r="G214" s="130"/>
      <c r="H214" s="130"/>
      <c r="I214" s="130"/>
      <c r="J214" s="130"/>
      <c r="K214" s="130"/>
    </row>
    <row r="215" spans="2:11" ht="24.95" hidden="1" customHeight="1">
      <c r="B215" s="127" t="s">
        <v>168</v>
      </c>
      <c r="C215" s="128"/>
      <c r="D215" s="129"/>
      <c r="E215" s="130" t="s">
        <v>232</v>
      </c>
      <c r="F215" s="130"/>
      <c r="G215" s="130"/>
      <c r="H215" s="130"/>
      <c r="I215" s="130"/>
      <c r="J215" s="130"/>
      <c r="K215" s="130"/>
    </row>
    <row r="216" spans="2:11" ht="24.95" hidden="1" customHeight="1">
      <c r="B216" s="127" t="s">
        <v>169</v>
      </c>
      <c r="C216" s="128"/>
      <c r="D216" s="129"/>
      <c r="E216" s="130" t="s">
        <v>233</v>
      </c>
      <c r="F216" s="130"/>
      <c r="G216" s="130"/>
      <c r="H216" s="130"/>
      <c r="I216" s="130"/>
      <c r="J216" s="130"/>
      <c r="K216" s="130"/>
    </row>
    <row r="217" spans="2:11" ht="174.95" hidden="1" customHeight="1">
      <c r="B217" s="127" t="s">
        <v>170</v>
      </c>
      <c r="C217" s="128"/>
      <c r="D217" s="129"/>
      <c r="E217" s="130" t="s">
        <v>319</v>
      </c>
      <c r="F217" s="130"/>
      <c r="G217" s="130"/>
      <c r="H217" s="130"/>
      <c r="I217" s="130"/>
      <c r="J217" s="130"/>
      <c r="K217" s="130"/>
    </row>
    <row r="218" spans="2:11" hidden="1"/>
    <row r="219" spans="2:11" hidden="1"/>
    <row r="220" spans="2:11" ht="20.25" hidden="1">
      <c r="B220" s="108" t="s">
        <v>186</v>
      </c>
      <c r="C220" s="108"/>
      <c r="D220" s="108"/>
      <c r="E220" s="108"/>
      <c r="F220" s="108"/>
      <c r="G220" s="108"/>
      <c r="H220" s="108"/>
      <c r="I220" s="108"/>
      <c r="J220" s="108"/>
      <c r="K220" s="108"/>
    </row>
    <row r="221" spans="2:11" ht="24.95" hidden="1" customHeight="1">
      <c r="B221" s="127" t="s">
        <v>161</v>
      </c>
      <c r="C221" s="128"/>
      <c r="D221" s="129"/>
      <c r="E221" s="130" t="s">
        <v>234</v>
      </c>
      <c r="F221" s="130"/>
      <c r="G221" s="130"/>
      <c r="H221" s="130"/>
      <c r="I221" s="130"/>
      <c r="J221" s="130"/>
      <c r="K221" s="130"/>
    </row>
    <row r="222" spans="2:11" ht="24.95" hidden="1" customHeight="1">
      <c r="B222" s="127" t="s">
        <v>162</v>
      </c>
      <c r="C222" s="128"/>
      <c r="D222" s="129"/>
      <c r="E222" s="130" t="s">
        <v>235</v>
      </c>
      <c r="F222" s="130"/>
      <c r="G222" s="130"/>
      <c r="H222" s="130"/>
      <c r="I222" s="130"/>
      <c r="J222" s="130"/>
      <c r="K222" s="130"/>
    </row>
    <row r="223" spans="2:11" ht="24.95" hidden="1" customHeight="1">
      <c r="B223" s="127" t="s">
        <v>163</v>
      </c>
      <c r="C223" s="128"/>
      <c r="D223" s="129"/>
      <c r="E223" s="130" t="s">
        <v>236</v>
      </c>
      <c r="F223" s="130"/>
      <c r="G223" s="130"/>
      <c r="H223" s="130"/>
      <c r="I223" s="130"/>
      <c r="J223" s="130"/>
      <c r="K223" s="130"/>
    </row>
    <row r="224" spans="2:11" ht="24.95" hidden="1" customHeight="1">
      <c r="B224" s="127" t="s">
        <v>164</v>
      </c>
      <c r="C224" s="128"/>
      <c r="D224" s="129"/>
      <c r="E224" s="130" t="s">
        <v>237</v>
      </c>
      <c r="F224" s="130"/>
      <c r="G224" s="130"/>
      <c r="H224" s="130"/>
      <c r="I224" s="130"/>
      <c r="J224" s="130"/>
      <c r="K224" s="130"/>
    </row>
    <row r="225" spans="2:11" ht="24.95" hidden="1" customHeight="1">
      <c r="B225" s="127" t="s">
        <v>165</v>
      </c>
      <c r="C225" s="128"/>
      <c r="D225" s="129"/>
      <c r="E225" s="130" t="s">
        <v>238</v>
      </c>
      <c r="F225" s="130"/>
      <c r="G225" s="130"/>
      <c r="H225" s="130"/>
      <c r="I225" s="130"/>
      <c r="J225" s="130"/>
      <c r="K225" s="130"/>
    </row>
    <row r="226" spans="2:11" ht="24.95" hidden="1" customHeight="1">
      <c r="B226" s="127" t="s">
        <v>166</v>
      </c>
      <c r="C226" s="128"/>
      <c r="D226" s="129"/>
      <c r="E226" s="130" t="s">
        <v>239</v>
      </c>
      <c r="F226" s="130"/>
      <c r="G226" s="130"/>
      <c r="H226" s="130"/>
      <c r="I226" s="130"/>
      <c r="J226" s="130"/>
      <c r="K226" s="130"/>
    </row>
    <row r="227" spans="2:11" ht="24.95" hidden="1" customHeight="1">
      <c r="B227" s="127" t="s">
        <v>167</v>
      </c>
      <c r="C227" s="128"/>
      <c r="D227" s="129"/>
      <c r="E227" s="130" t="s">
        <v>240</v>
      </c>
      <c r="F227" s="130"/>
      <c r="G227" s="130"/>
      <c r="H227" s="130"/>
      <c r="I227" s="130"/>
      <c r="J227" s="130"/>
      <c r="K227" s="130"/>
    </row>
    <row r="228" spans="2:11" ht="24.95" hidden="1" customHeight="1">
      <c r="B228" s="127" t="s">
        <v>168</v>
      </c>
      <c r="C228" s="128"/>
      <c r="D228" s="129"/>
      <c r="E228" s="130" t="s">
        <v>241</v>
      </c>
      <c r="F228" s="130"/>
      <c r="G228" s="130"/>
      <c r="H228" s="130"/>
      <c r="I228" s="130"/>
      <c r="J228" s="130"/>
      <c r="K228" s="130"/>
    </row>
    <row r="229" spans="2:11" ht="24.95" hidden="1" customHeight="1">
      <c r="B229" s="127" t="s">
        <v>169</v>
      </c>
      <c r="C229" s="128"/>
      <c r="D229" s="129"/>
      <c r="E229" s="130" t="s">
        <v>242</v>
      </c>
      <c r="F229" s="130"/>
      <c r="G229" s="130"/>
      <c r="H229" s="130"/>
      <c r="I229" s="130"/>
      <c r="J229" s="130"/>
      <c r="K229" s="130"/>
    </row>
    <row r="230" spans="2:11" ht="150" hidden="1" customHeight="1">
      <c r="B230" s="127" t="s">
        <v>170</v>
      </c>
      <c r="C230" s="128"/>
      <c r="D230" s="129"/>
      <c r="E230" s="130" t="s">
        <v>320</v>
      </c>
      <c r="F230" s="130"/>
      <c r="G230" s="130"/>
      <c r="H230" s="130"/>
      <c r="I230" s="130"/>
      <c r="J230" s="130"/>
      <c r="K230" s="130"/>
    </row>
    <row r="231" spans="2:11" hidden="1"/>
    <row r="232" spans="2:11" hidden="1"/>
    <row r="233" spans="2:11" ht="20.25" hidden="1">
      <c r="B233" s="108" t="s">
        <v>87</v>
      </c>
      <c r="C233" s="108"/>
      <c r="D233" s="108"/>
      <c r="E233" s="108"/>
      <c r="F233" s="108"/>
      <c r="G233" s="108"/>
      <c r="H233" s="108"/>
      <c r="I233" s="108"/>
      <c r="J233" s="108"/>
      <c r="K233" s="108"/>
    </row>
    <row r="234" spans="2:11" ht="24.95" hidden="1" customHeight="1">
      <c r="B234" s="127" t="s">
        <v>161</v>
      </c>
      <c r="C234" s="128"/>
      <c r="D234" s="129"/>
      <c r="E234" s="130" t="s">
        <v>243</v>
      </c>
      <c r="F234" s="130"/>
      <c r="G234" s="130"/>
      <c r="H234" s="130"/>
      <c r="I234" s="130"/>
      <c r="J234" s="130"/>
      <c r="K234" s="130"/>
    </row>
    <row r="235" spans="2:11" ht="24.95" hidden="1" customHeight="1">
      <c r="B235" s="127" t="s">
        <v>162</v>
      </c>
      <c r="C235" s="128"/>
      <c r="D235" s="129"/>
      <c r="E235" s="130" t="s">
        <v>244</v>
      </c>
      <c r="F235" s="130"/>
      <c r="G235" s="130"/>
      <c r="H235" s="130"/>
      <c r="I235" s="130"/>
      <c r="J235" s="130"/>
      <c r="K235" s="130"/>
    </row>
    <row r="236" spans="2:11" ht="24.95" hidden="1" customHeight="1">
      <c r="B236" s="127" t="s">
        <v>163</v>
      </c>
      <c r="C236" s="128"/>
      <c r="D236" s="129"/>
      <c r="E236" s="130" t="s">
        <v>245</v>
      </c>
      <c r="F236" s="130"/>
      <c r="G236" s="130"/>
      <c r="H236" s="130"/>
      <c r="I236" s="130"/>
      <c r="J236" s="130"/>
      <c r="K236" s="130"/>
    </row>
    <row r="237" spans="2:11" ht="24.95" hidden="1" customHeight="1">
      <c r="B237" s="127" t="s">
        <v>164</v>
      </c>
      <c r="C237" s="128"/>
      <c r="D237" s="129"/>
      <c r="E237" s="130" t="s">
        <v>246</v>
      </c>
      <c r="F237" s="130"/>
      <c r="G237" s="130"/>
      <c r="H237" s="130"/>
      <c r="I237" s="130"/>
      <c r="J237" s="130"/>
      <c r="K237" s="130"/>
    </row>
    <row r="238" spans="2:11" ht="24.95" hidden="1" customHeight="1">
      <c r="B238" s="127" t="s">
        <v>165</v>
      </c>
      <c r="C238" s="128"/>
      <c r="D238" s="129"/>
      <c r="E238" s="130" t="s">
        <v>247</v>
      </c>
      <c r="F238" s="130"/>
      <c r="G238" s="130"/>
      <c r="H238" s="130"/>
      <c r="I238" s="130"/>
      <c r="J238" s="130"/>
      <c r="K238" s="130"/>
    </row>
    <row r="239" spans="2:11" ht="24.95" hidden="1" customHeight="1">
      <c r="B239" s="127" t="s">
        <v>166</v>
      </c>
      <c r="C239" s="128"/>
      <c r="D239" s="129"/>
      <c r="E239" s="130" t="s">
        <v>248</v>
      </c>
      <c r="F239" s="130"/>
      <c r="G239" s="130"/>
      <c r="H239" s="130"/>
      <c r="I239" s="130"/>
      <c r="J239" s="130"/>
      <c r="K239" s="130"/>
    </row>
    <row r="240" spans="2:11" ht="24.95" hidden="1" customHeight="1">
      <c r="B240" s="127" t="s">
        <v>167</v>
      </c>
      <c r="C240" s="128"/>
      <c r="D240" s="129"/>
      <c r="E240" s="130" t="s">
        <v>249</v>
      </c>
      <c r="F240" s="130"/>
      <c r="G240" s="130"/>
      <c r="H240" s="130"/>
      <c r="I240" s="130"/>
      <c r="J240" s="130"/>
      <c r="K240" s="130"/>
    </row>
    <row r="241" spans="2:13" ht="24.95" hidden="1" customHeight="1">
      <c r="B241" s="127" t="s">
        <v>168</v>
      </c>
      <c r="C241" s="128"/>
      <c r="D241" s="129"/>
      <c r="E241" s="130" t="s">
        <v>250</v>
      </c>
      <c r="F241" s="130"/>
      <c r="G241" s="130"/>
      <c r="H241" s="130"/>
      <c r="I241" s="130"/>
      <c r="J241" s="130"/>
      <c r="K241" s="130"/>
    </row>
    <row r="242" spans="2:13" ht="24.95" hidden="1" customHeight="1">
      <c r="B242" s="127" t="s">
        <v>169</v>
      </c>
      <c r="C242" s="128"/>
      <c r="D242" s="129"/>
      <c r="E242" s="130" t="s">
        <v>321</v>
      </c>
      <c r="F242" s="130"/>
      <c r="G242" s="130"/>
      <c r="H242" s="130"/>
      <c r="I242" s="130"/>
      <c r="J242" s="130"/>
      <c r="K242" s="130"/>
    </row>
    <row r="243" spans="2:13" ht="174.95" hidden="1" customHeight="1">
      <c r="B243" s="127" t="s">
        <v>170</v>
      </c>
      <c r="C243" s="128"/>
      <c r="D243" s="129"/>
      <c r="E243" s="130" t="s">
        <v>322</v>
      </c>
      <c r="F243" s="130"/>
      <c r="G243" s="130"/>
      <c r="H243" s="130"/>
      <c r="I243" s="130"/>
      <c r="J243" s="130"/>
      <c r="K243" s="130"/>
    </row>
    <row r="244" spans="2:13" hidden="1"/>
    <row r="245" spans="2:13" hidden="1"/>
    <row r="246" spans="2:13" ht="20.25" hidden="1">
      <c r="B246" s="108" t="s">
        <v>187</v>
      </c>
      <c r="C246" s="108"/>
      <c r="D246" s="108"/>
      <c r="E246" s="108"/>
      <c r="F246" s="108"/>
      <c r="G246" s="108"/>
      <c r="H246" s="108"/>
      <c r="I246" s="108"/>
      <c r="J246" s="108"/>
      <c r="K246" s="108"/>
    </row>
    <row r="247" spans="2:13" ht="24.95" hidden="1" customHeight="1">
      <c r="B247" s="127" t="s">
        <v>161</v>
      </c>
      <c r="C247" s="128"/>
      <c r="D247" s="129"/>
      <c r="E247" s="130" t="s">
        <v>309</v>
      </c>
      <c r="F247" s="130"/>
      <c r="G247" s="130"/>
      <c r="H247" s="130"/>
      <c r="I247" s="130"/>
      <c r="J247" s="130"/>
      <c r="K247" s="130"/>
    </row>
    <row r="248" spans="2:13" ht="24.95" hidden="1" customHeight="1">
      <c r="B248" s="127" t="s">
        <v>162</v>
      </c>
      <c r="C248" s="128"/>
      <c r="D248" s="129"/>
      <c r="E248" s="130" t="s">
        <v>251</v>
      </c>
      <c r="F248" s="130"/>
      <c r="G248" s="130"/>
      <c r="H248" s="130"/>
      <c r="I248" s="130"/>
      <c r="J248" s="130"/>
      <c r="K248" s="130"/>
    </row>
    <row r="249" spans="2:13" ht="24.95" hidden="1" customHeight="1">
      <c r="B249" s="127" t="s">
        <v>163</v>
      </c>
      <c r="C249" s="128"/>
      <c r="D249" s="129"/>
      <c r="E249" s="130" t="s">
        <v>252</v>
      </c>
      <c r="F249" s="130"/>
      <c r="G249" s="130"/>
      <c r="H249" s="130"/>
      <c r="I249" s="130"/>
      <c r="J249" s="130"/>
      <c r="K249" s="130"/>
    </row>
    <row r="250" spans="2:13" ht="24.95" hidden="1" customHeight="1">
      <c r="B250" s="127" t="s">
        <v>164</v>
      </c>
      <c r="C250" s="128"/>
      <c r="D250" s="129"/>
      <c r="E250" s="130" t="s">
        <v>253</v>
      </c>
      <c r="F250" s="130"/>
      <c r="G250" s="130"/>
      <c r="H250" s="130"/>
      <c r="I250" s="130"/>
      <c r="J250" s="130"/>
      <c r="K250" s="130"/>
    </row>
    <row r="251" spans="2:13" ht="24.95" hidden="1" customHeight="1">
      <c r="B251" s="127" t="s">
        <v>165</v>
      </c>
      <c r="C251" s="128"/>
      <c r="D251" s="129"/>
      <c r="E251" s="130" t="s">
        <v>254</v>
      </c>
      <c r="F251" s="130"/>
      <c r="G251" s="130"/>
      <c r="H251" s="130"/>
      <c r="I251" s="130"/>
      <c r="J251" s="130"/>
      <c r="K251" s="130"/>
    </row>
    <row r="252" spans="2:13" ht="24.95" hidden="1" customHeight="1">
      <c r="B252" s="127" t="s">
        <v>166</v>
      </c>
      <c r="C252" s="128"/>
      <c r="D252" s="129"/>
      <c r="E252" s="130" t="s">
        <v>255</v>
      </c>
      <c r="F252" s="130"/>
      <c r="G252" s="130"/>
      <c r="H252" s="130"/>
      <c r="I252" s="130"/>
      <c r="J252" s="130"/>
      <c r="K252" s="130"/>
    </row>
    <row r="253" spans="2:13" ht="24.95" hidden="1" customHeight="1">
      <c r="B253" s="127" t="s">
        <v>167</v>
      </c>
      <c r="C253" s="128"/>
      <c r="D253" s="129"/>
      <c r="E253" s="130" t="s">
        <v>308</v>
      </c>
      <c r="F253" s="130"/>
      <c r="G253" s="130"/>
      <c r="H253" s="130"/>
      <c r="I253" s="130"/>
      <c r="J253" s="130"/>
      <c r="K253" s="130"/>
    </row>
    <row r="254" spans="2:13" ht="24.95" hidden="1" customHeight="1">
      <c r="B254" s="127" t="s">
        <v>168</v>
      </c>
      <c r="C254" s="128"/>
      <c r="D254" s="129"/>
      <c r="E254" s="130" t="s">
        <v>256</v>
      </c>
      <c r="F254" s="130"/>
      <c r="G254" s="130"/>
      <c r="H254" s="130"/>
      <c r="I254" s="130"/>
      <c r="J254" s="130"/>
      <c r="K254" s="130"/>
    </row>
    <row r="255" spans="2:13" ht="24.95" hidden="1" customHeight="1">
      <c r="B255" s="127" t="s">
        <v>169</v>
      </c>
      <c r="C255" s="128"/>
      <c r="D255" s="129"/>
      <c r="E255" s="130" t="s">
        <v>323</v>
      </c>
      <c r="F255" s="130"/>
      <c r="G255" s="130"/>
      <c r="H255" s="130"/>
      <c r="I255" s="130"/>
      <c r="J255" s="130"/>
      <c r="K255" s="130"/>
    </row>
    <row r="256" spans="2:13" ht="195" hidden="1" customHeight="1">
      <c r="B256" s="127" t="s">
        <v>170</v>
      </c>
      <c r="C256" s="128"/>
      <c r="D256" s="129"/>
      <c r="E256" s="130" t="s">
        <v>324</v>
      </c>
      <c r="F256" s="130"/>
      <c r="G256" s="130"/>
      <c r="H256" s="130"/>
      <c r="I256" s="130"/>
      <c r="J256" s="130"/>
      <c r="K256" s="130"/>
      <c r="M256" s="19" t="s">
        <v>207</v>
      </c>
    </row>
    <row r="257" spans="2:11" hidden="1"/>
    <row r="258" spans="2:11" hidden="1"/>
    <row r="259" spans="2:11" ht="20.25" hidden="1">
      <c r="B259" s="108" t="s">
        <v>171</v>
      </c>
      <c r="C259" s="108"/>
      <c r="D259" s="108"/>
      <c r="E259" s="108"/>
      <c r="F259" s="108"/>
      <c r="G259" s="108"/>
      <c r="H259" s="108"/>
      <c r="I259" s="108"/>
      <c r="J259" s="108"/>
      <c r="K259" s="108"/>
    </row>
    <row r="260" spans="2:11" ht="24.95" hidden="1" customHeight="1">
      <c r="B260" s="127" t="s">
        <v>161</v>
      </c>
      <c r="C260" s="128"/>
      <c r="D260" s="129"/>
      <c r="E260" s="130" t="s">
        <v>172</v>
      </c>
      <c r="F260" s="130"/>
      <c r="G260" s="130"/>
      <c r="H260" s="130"/>
      <c r="I260" s="130"/>
      <c r="J260" s="130"/>
      <c r="K260" s="130"/>
    </row>
    <row r="261" spans="2:11" ht="24.95" hidden="1" customHeight="1">
      <c r="B261" s="127" t="s">
        <v>162</v>
      </c>
      <c r="C261" s="128"/>
      <c r="D261" s="129"/>
      <c r="E261" s="130" t="s">
        <v>173</v>
      </c>
      <c r="F261" s="130"/>
      <c r="G261" s="130"/>
      <c r="H261" s="130"/>
      <c r="I261" s="130"/>
      <c r="J261" s="130"/>
      <c r="K261" s="130"/>
    </row>
    <row r="262" spans="2:11" ht="24.95" hidden="1" customHeight="1">
      <c r="B262" s="127" t="s">
        <v>163</v>
      </c>
      <c r="C262" s="128"/>
      <c r="D262" s="129"/>
      <c r="E262" s="130" t="s">
        <v>174</v>
      </c>
      <c r="F262" s="130"/>
      <c r="G262" s="130"/>
      <c r="H262" s="130"/>
      <c r="I262" s="130"/>
      <c r="J262" s="130"/>
      <c r="K262" s="130"/>
    </row>
    <row r="263" spans="2:11" ht="24.95" hidden="1" customHeight="1">
      <c r="B263" s="127" t="s">
        <v>164</v>
      </c>
      <c r="C263" s="128"/>
      <c r="D263" s="129"/>
      <c r="E263" s="130" t="s">
        <v>175</v>
      </c>
      <c r="F263" s="130"/>
      <c r="G263" s="130"/>
      <c r="H263" s="130"/>
      <c r="I263" s="130"/>
      <c r="J263" s="130"/>
      <c r="K263" s="130"/>
    </row>
    <row r="264" spans="2:11" ht="24.95" hidden="1" customHeight="1">
      <c r="B264" s="127" t="s">
        <v>165</v>
      </c>
      <c r="C264" s="128"/>
      <c r="D264" s="129"/>
      <c r="E264" s="130" t="s">
        <v>176</v>
      </c>
      <c r="F264" s="130"/>
      <c r="G264" s="130"/>
      <c r="H264" s="130"/>
      <c r="I264" s="130"/>
      <c r="J264" s="130"/>
      <c r="K264" s="130"/>
    </row>
    <row r="265" spans="2:11" ht="24.95" hidden="1" customHeight="1">
      <c r="B265" s="127" t="s">
        <v>166</v>
      </c>
      <c r="C265" s="128"/>
      <c r="D265" s="129"/>
      <c r="E265" s="130" t="s">
        <v>177</v>
      </c>
      <c r="F265" s="130"/>
      <c r="G265" s="130"/>
      <c r="H265" s="130"/>
      <c r="I265" s="130"/>
      <c r="J265" s="130"/>
      <c r="K265" s="130"/>
    </row>
    <row r="266" spans="2:11" ht="24.95" hidden="1" customHeight="1">
      <c r="B266" s="127" t="s">
        <v>167</v>
      </c>
      <c r="C266" s="128"/>
      <c r="D266" s="129"/>
      <c r="E266" s="130" t="s">
        <v>178</v>
      </c>
      <c r="F266" s="130"/>
      <c r="G266" s="130"/>
      <c r="H266" s="130"/>
      <c r="I266" s="130"/>
      <c r="J266" s="130"/>
      <c r="K266" s="130"/>
    </row>
    <row r="267" spans="2:11" ht="24.95" hidden="1" customHeight="1">
      <c r="B267" s="127" t="s">
        <v>168</v>
      </c>
      <c r="C267" s="128"/>
      <c r="D267" s="129"/>
      <c r="E267" s="130" t="s">
        <v>179</v>
      </c>
      <c r="F267" s="130"/>
      <c r="G267" s="130"/>
      <c r="H267" s="130"/>
      <c r="I267" s="130"/>
      <c r="J267" s="130"/>
      <c r="K267" s="130"/>
    </row>
    <row r="268" spans="2:11" ht="24.95" hidden="1" customHeight="1">
      <c r="B268" s="127" t="s">
        <v>169</v>
      </c>
      <c r="C268" s="128"/>
      <c r="D268" s="129"/>
      <c r="E268" s="130" t="s">
        <v>180</v>
      </c>
      <c r="F268" s="130"/>
      <c r="G268" s="130"/>
      <c r="H268" s="130"/>
      <c r="I268" s="130"/>
      <c r="J268" s="130"/>
      <c r="K268" s="130"/>
    </row>
    <row r="269" spans="2:11" ht="150" hidden="1" customHeight="1">
      <c r="B269" s="127" t="s">
        <v>170</v>
      </c>
      <c r="C269" s="128"/>
      <c r="D269" s="129"/>
      <c r="E269" s="130" t="s">
        <v>181</v>
      </c>
      <c r="F269" s="130"/>
      <c r="G269" s="130"/>
      <c r="H269" s="130"/>
      <c r="I269" s="130"/>
      <c r="J269" s="130"/>
      <c r="K269" s="130"/>
    </row>
    <row r="270" spans="2:11" hidden="1"/>
    <row r="271" spans="2:11" hidden="1"/>
    <row r="272" spans="2:11" ht="20.25" hidden="1">
      <c r="B272" s="108" t="s">
        <v>188</v>
      </c>
      <c r="C272" s="108"/>
      <c r="D272" s="108"/>
      <c r="E272" s="108"/>
      <c r="F272" s="108"/>
      <c r="G272" s="108"/>
      <c r="H272" s="108"/>
      <c r="I272" s="108"/>
      <c r="J272" s="108"/>
      <c r="K272" s="108"/>
    </row>
    <row r="273" spans="2:11" ht="24.95" hidden="1" customHeight="1">
      <c r="B273" s="127" t="s">
        <v>161</v>
      </c>
      <c r="C273" s="128"/>
      <c r="D273" s="129"/>
      <c r="E273" s="130" t="s">
        <v>257</v>
      </c>
      <c r="F273" s="130"/>
      <c r="G273" s="130"/>
      <c r="H273" s="130"/>
      <c r="I273" s="130"/>
      <c r="J273" s="130"/>
      <c r="K273" s="130"/>
    </row>
    <row r="274" spans="2:11" ht="24.95" hidden="1" customHeight="1">
      <c r="B274" s="127" t="s">
        <v>162</v>
      </c>
      <c r="C274" s="128"/>
      <c r="D274" s="129"/>
      <c r="E274" s="130" t="s">
        <v>258</v>
      </c>
      <c r="F274" s="130"/>
      <c r="G274" s="130"/>
      <c r="H274" s="130"/>
      <c r="I274" s="130"/>
      <c r="J274" s="130"/>
      <c r="K274" s="130"/>
    </row>
    <row r="275" spans="2:11" ht="24.95" hidden="1" customHeight="1">
      <c r="B275" s="127" t="s">
        <v>163</v>
      </c>
      <c r="C275" s="128"/>
      <c r="D275" s="129"/>
      <c r="E275" s="130" t="s">
        <v>325</v>
      </c>
      <c r="F275" s="130"/>
      <c r="G275" s="130"/>
      <c r="H275" s="130"/>
      <c r="I275" s="130"/>
      <c r="J275" s="130"/>
      <c r="K275" s="130"/>
    </row>
    <row r="276" spans="2:11" ht="24.95" hidden="1" customHeight="1">
      <c r="B276" s="127" t="s">
        <v>164</v>
      </c>
      <c r="C276" s="128"/>
      <c r="D276" s="129"/>
      <c r="E276" s="130" t="s">
        <v>259</v>
      </c>
      <c r="F276" s="130"/>
      <c r="G276" s="130"/>
      <c r="H276" s="130"/>
      <c r="I276" s="130"/>
      <c r="J276" s="130"/>
      <c r="K276" s="130"/>
    </row>
    <row r="277" spans="2:11" ht="24.95" hidden="1" customHeight="1">
      <c r="B277" s="127" t="s">
        <v>165</v>
      </c>
      <c r="C277" s="128"/>
      <c r="D277" s="129"/>
      <c r="E277" s="130" t="s">
        <v>260</v>
      </c>
      <c r="F277" s="130"/>
      <c r="G277" s="130"/>
      <c r="H277" s="130"/>
      <c r="I277" s="130"/>
      <c r="J277" s="130"/>
      <c r="K277" s="130"/>
    </row>
    <row r="278" spans="2:11" ht="24.95" hidden="1" customHeight="1">
      <c r="B278" s="127" t="s">
        <v>166</v>
      </c>
      <c r="C278" s="128"/>
      <c r="D278" s="129"/>
      <c r="E278" s="130" t="s">
        <v>261</v>
      </c>
      <c r="F278" s="130"/>
      <c r="G278" s="130"/>
      <c r="H278" s="130"/>
      <c r="I278" s="130"/>
      <c r="J278" s="130"/>
      <c r="K278" s="130"/>
    </row>
    <row r="279" spans="2:11" ht="24.95" hidden="1" customHeight="1">
      <c r="B279" s="127" t="s">
        <v>167</v>
      </c>
      <c r="C279" s="128"/>
      <c r="D279" s="129"/>
      <c r="E279" s="130" t="s">
        <v>262</v>
      </c>
      <c r="F279" s="130"/>
      <c r="G279" s="130"/>
      <c r="H279" s="130"/>
      <c r="I279" s="130"/>
      <c r="J279" s="130"/>
      <c r="K279" s="130"/>
    </row>
    <row r="280" spans="2:11" ht="24.95" hidden="1" customHeight="1">
      <c r="B280" s="127" t="s">
        <v>168</v>
      </c>
      <c r="C280" s="128"/>
      <c r="D280" s="129"/>
      <c r="E280" s="130" t="s">
        <v>263</v>
      </c>
      <c r="F280" s="130"/>
      <c r="G280" s="130"/>
      <c r="H280" s="130"/>
      <c r="I280" s="130"/>
      <c r="J280" s="130"/>
      <c r="K280" s="130"/>
    </row>
    <row r="281" spans="2:11" ht="24.95" hidden="1" customHeight="1">
      <c r="B281" s="127" t="s">
        <v>169</v>
      </c>
      <c r="C281" s="128"/>
      <c r="D281" s="129"/>
      <c r="E281" s="130" t="s">
        <v>326</v>
      </c>
      <c r="F281" s="130"/>
      <c r="G281" s="130"/>
      <c r="H281" s="130"/>
      <c r="I281" s="130"/>
      <c r="J281" s="130"/>
      <c r="K281" s="130"/>
    </row>
    <row r="282" spans="2:11" ht="150" hidden="1" customHeight="1">
      <c r="B282" s="127" t="s">
        <v>170</v>
      </c>
      <c r="C282" s="128"/>
      <c r="D282" s="129"/>
      <c r="E282" s="130" t="s">
        <v>327</v>
      </c>
      <c r="F282" s="130"/>
      <c r="G282" s="130"/>
      <c r="H282" s="130"/>
      <c r="I282" s="130"/>
      <c r="J282" s="130"/>
      <c r="K282" s="130"/>
    </row>
    <row r="283" spans="2:11" hidden="1"/>
    <row r="284" spans="2:11" hidden="1"/>
    <row r="285" spans="2:11" ht="20.25" hidden="1">
      <c r="B285" s="108" t="s">
        <v>14</v>
      </c>
      <c r="C285" s="108"/>
      <c r="D285" s="108"/>
      <c r="E285" s="108"/>
      <c r="F285" s="108"/>
      <c r="G285" s="108"/>
      <c r="H285" s="108"/>
      <c r="I285" s="108"/>
      <c r="J285" s="108"/>
      <c r="K285" s="108"/>
    </row>
    <row r="286" spans="2:11" ht="24.95" hidden="1" customHeight="1">
      <c r="B286" s="127" t="s">
        <v>161</v>
      </c>
      <c r="C286" s="128"/>
      <c r="D286" s="129"/>
      <c r="E286" s="130" t="s">
        <v>264</v>
      </c>
      <c r="F286" s="130"/>
      <c r="G286" s="130"/>
      <c r="H286" s="130"/>
      <c r="I286" s="130"/>
      <c r="J286" s="130"/>
      <c r="K286" s="130"/>
    </row>
    <row r="287" spans="2:11" ht="24.95" hidden="1" customHeight="1">
      <c r="B287" s="127" t="s">
        <v>162</v>
      </c>
      <c r="C287" s="128"/>
      <c r="D287" s="129"/>
      <c r="E287" s="130" t="s">
        <v>265</v>
      </c>
      <c r="F287" s="130"/>
      <c r="G287" s="130"/>
      <c r="H287" s="130"/>
      <c r="I287" s="130"/>
      <c r="J287" s="130"/>
      <c r="K287" s="130"/>
    </row>
    <row r="288" spans="2:11" ht="24.95" hidden="1" customHeight="1">
      <c r="B288" s="127" t="s">
        <v>163</v>
      </c>
      <c r="C288" s="128"/>
      <c r="D288" s="129"/>
      <c r="E288" s="130" t="s">
        <v>266</v>
      </c>
      <c r="F288" s="130"/>
      <c r="G288" s="130"/>
      <c r="H288" s="130"/>
      <c r="I288" s="130"/>
      <c r="J288" s="130"/>
      <c r="K288" s="130"/>
    </row>
    <row r="289" spans="2:11" ht="24.95" hidden="1" customHeight="1">
      <c r="B289" s="127" t="s">
        <v>164</v>
      </c>
      <c r="C289" s="128"/>
      <c r="D289" s="129"/>
      <c r="E289" s="130" t="s">
        <v>267</v>
      </c>
      <c r="F289" s="130"/>
      <c r="G289" s="130"/>
      <c r="H289" s="130"/>
      <c r="I289" s="130"/>
      <c r="J289" s="130"/>
      <c r="K289" s="130"/>
    </row>
    <row r="290" spans="2:11" ht="24.95" hidden="1" customHeight="1">
      <c r="B290" s="127" t="s">
        <v>165</v>
      </c>
      <c r="C290" s="128"/>
      <c r="D290" s="129"/>
      <c r="E290" s="130" t="s">
        <v>268</v>
      </c>
      <c r="F290" s="130"/>
      <c r="G290" s="130"/>
      <c r="H290" s="130"/>
      <c r="I290" s="130"/>
      <c r="J290" s="130"/>
      <c r="K290" s="130"/>
    </row>
    <row r="291" spans="2:11" ht="24.95" hidden="1" customHeight="1">
      <c r="B291" s="127" t="s">
        <v>166</v>
      </c>
      <c r="C291" s="128"/>
      <c r="D291" s="129"/>
      <c r="E291" s="130" t="s">
        <v>269</v>
      </c>
      <c r="F291" s="130"/>
      <c r="G291" s="130"/>
      <c r="H291" s="130"/>
      <c r="I291" s="130"/>
      <c r="J291" s="130"/>
      <c r="K291" s="130"/>
    </row>
    <row r="292" spans="2:11" ht="24.95" hidden="1" customHeight="1">
      <c r="B292" s="127" t="s">
        <v>167</v>
      </c>
      <c r="C292" s="128"/>
      <c r="D292" s="129"/>
      <c r="E292" s="130" t="s">
        <v>270</v>
      </c>
      <c r="F292" s="130"/>
      <c r="G292" s="130"/>
      <c r="H292" s="130"/>
      <c r="I292" s="130"/>
      <c r="J292" s="130"/>
      <c r="K292" s="130"/>
    </row>
    <row r="293" spans="2:11" ht="24.95" hidden="1" customHeight="1">
      <c r="B293" s="127" t="s">
        <v>168</v>
      </c>
      <c r="C293" s="128"/>
      <c r="D293" s="129"/>
      <c r="E293" s="130" t="s">
        <v>271</v>
      </c>
      <c r="F293" s="130"/>
      <c r="G293" s="130"/>
      <c r="H293" s="130"/>
      <c r="I293" s="130"/>
      <c r="J293" s="130"/>
      <c r="K293" s="130"/>
    </row>
    <row r="294" spans="2:11" ht="24.95" hidden="1" customHeight="1">
      <c r="B294" s="127" t="s">
        <v>169</v>
      </c>
      <c r="C294" s="128"/>
      <c r="D294" s="129"/>
      <c r="E294" s="130" t="s">
        <v>272</v>
      </c>
      <c r="F294" s="130"/>
      <c r="G294" s="130"/>
      <c r="H294" s="130"/>
      <c r="I294" s="130"/>
      <c r="J294" s="130"/>
      <c r="K294" s="130"/>
    </row>
    <row r="295" spans="2:11" ht="174.95" hidden="1" customHeight="1">
      <c r="B295" s="127" t="s">
        <v>170</v>
      </c>
      <c r="C295" s="128"/>
      <c r="D295" s="129"/>
      <c r="E295" s="130" t="s">
        <v>328</v>
      </c>
      <c r="F295" s="130"/>
      <c r="G295" s="130"/>
      <c r="H295" s="130"/>
      <c r="I295" s="130"/>
      <c r="J295" s="130"/>
      <c r="K295" s="130"/>
    </row>
    <row r="296" spans="2:11" hidden="1"/>
    <row r="297" spans="2:11" hidden="1"/>
    <row r="298" spans="2:11" ht="20.25" hidden="1">
      <c r="B298" s="108" t="s">
        <v>189</v>
      </c>
      <c r="C298" s="108"/>
      <c r="D298" s="108"/>
      <c r="E298" s="108"/>
      <c r="F298" s="108"/>
      <c r="G298" s="108"/>
      <c r="H298" s="108"/>
      <c r="I298" s="108"/>
      <c r="J298" s="108"/>
      <c r="K298" s="108"/>
    </row>
    <row r="299" spans="2:11" ht="24.95" hidden="1" customHeight="1">
      <c r="B299" s="127" t="s">
        <v>161</v>
      </c>
      <c r="C299" s="128"/>
      <c r="D299" s="129"/>
      <c r="E299" s="130" t="s">
        <v>273</v>
      </c>
      <c r="F299" s="130"/>
      <c r="G299" s="130"/>
      <c r="H299" s="130"/>
      <c r="I299" s="130"/>
      <c r="J299" s="130"/>
      <c r="K299" s="130"/>
    </row>
    <row r="300" spans="2:11" ht="24.95" hidden="1" customHeight="1">
      <c r="B300" s="127" t="s">
        <v>162</v>
      </c>
      <c r="C300" s="128"/>
      <c r="D300" s="129"/>
      <c r="E300" s="130" t="s">
        <v>281</v>
      </c>
      <c r="F300" s="130"/>
      <c r="G300" s="130"/>
      <c r="H300" s="130"/>
      <c r="I300" s="130"/>
      <c r="J300" s="130"/>
      <c r="K300" s="130"/>
    </row>
    <row r="301" spans="2:11" ht="24.95" hidden="1" customHeight="1">
      <c r="B301" s="127" t="s">
        <v>163</v>
      </c>
      <c r="C301" s="128"/>
      <c r="D301" s="129"/>
      <c r="E301" s="130" t="s">
        <v>274</v>
      </c>
      <c r="F301" s="130"/>
      <c r="G301" s="130"/>
      <c r="H301" s="130"/>
      <c r="I301" s="130"/>
      <c r="J301" s="130"/>
      <c r="K301" s="130"/>
    </row>
    <row r="302" spans="2:11" ht="24.95" hidden="1" customHeight="1">
      <c r="B302" s="127" t="s">
        <v>164</v>
      </c>
      <c r="C302" s="128"/>
      <c r="D302" s="129"/>
      <c r="E302" s="130" t="s">
        <v>275</v>
      </c>
      <c r="F302" s="130"/>
      <c r="G302" s="130"/>
      <c r="H302" s="130"/>
      <c r="I302" s="130"/>
      <c r="J302" s="130"/>
      <c r="K302" s="130"/>
    </row>
    <row r="303" spans="2:11" ht="24.95" hidden="1" customHeight="1">
      <c r="B303" s="127" t="s">
        <v>165</v>
      </c>
      <c r="C303" s="128"/>
      <c r="D303" s="129"/>
      <c r="E303" s="130" t="s">
        <v>276</v>
      </c>
      <c r="F303" s="130"/>
      <c r="G303" s="130"/>
      <c r="H303" s="130"/>
      <c r="I303" s="130"/>
      <c r="J303" s="130"/>
      <c r="K303" s="130"/>
    </row>
    <row r="304" spans="2:11" ht="24.95" hidden="1" customHeight="1">
      <c r="B304" s="127" t="s">
        <v>166</v>
      </c>
      <c r="C304" s="128"/>
      <c r="D304" s="129"/>
      <c r="E304" s="130" t="s">
        <v>277</v>
      </c>
      <c r="F304" s="130"/>
      <c r="G304" s="130"/>
      <c r="H304" s="130"/>
      <c r="I304" s="130"/>
      <c r="J304" s="130"/>
      <c r="K304" s="130"/>
    </row>
    <row r="305" spans="2:11" ht="24.95" hidden="1" customHeight="1">
      <c r="B305" s="127" t="s">
        <v>167</v>
      </c>
      <c r="C305" s="128"/>
      <c r="D305" s="129"/>
      <c r="E305" s="130" t="s">
        <v>278</v>
      </c>
      <c r="F305" s="130"/>
      <c r="G305" s="130"/>
      <c r="H305" s="130"/>
      <c r="I305" s="130"/>
      <c r="J305" s="130"/>
      <c r="K305" s="130"/>
    </row>
    <row r="306" spans="2:11" ht="24.95" hidden="1" customHeight="1">
      <c r="B306" s="127" t="s">
        <v>168</v>
      </c>
      <c r="C306" s="128"/>
      <c r="D306" s="129"/>
      <c r="E306" s="130" t="s">
        <v>279</v>
      </c>
      <c r="F306" s="130"/>
      <c r="G306" s="130"/>
      <c r="H306" s="130"/>
      <c r="I306" s="130"/>
      <c r="J306" s="130"/>
      <c r="K306" s="130"/>
    </row>
    <row r="307" spans="2:11" ht="24.95" hidden="1" customHeight="1">
      <c r="B307" s="127" t="s">
        <v>169</v>
      </c>
      <c r="C307" s="128"/>
      <c r="D307" s="129"/>
      <c r="E307" s="130" t="s">
        <v>280</v>
      </c>
      <c r="F307" s="130"/>
      <c r="G307" s="130"/>
      <c r="H307" s="130"/>
      <c r="I307" s="130"/>
      <c r="J307" s="130"/>
      <c r="K307" s="130"/>
    </row>
    <row r="308" spans="2:11" ht="204.95" hidden="1" customHeight="1">
      <c r="B308" s="127" t="s">
        <v>170</v>
      </c>
      <c r="C308" s="128"/>
      <c r="D308" s="129"/>
      <c r="E308" s="130" t="s">
        <v>329</v>
      </c>
      <c r="F308" s="130"/>
      <c r="G308" s="130"/>
      <c r="H308" s="130"/>
      <c r="I308" s="130"/>
      <c r="J308" s="130"/>
      <c r="K308" s="130"/>
    </row>
    <row r="309" spans="2:11" hidden="1"/>
    <row r="310" spans="2:11" hidden="1"/>
    <row r="311" spans="2:11" ht="20.25" hidden="1">
      <c r="B311" s="108" t="s">
        <v>190</v>
      </c>
      <c r="C311" s="108"/>
      <c r="D311" s="108"/>
      <c r="E311" s="108"/>
      <c r="F311" s="108"/>
      <c r="G311" s="108"/>
      <c r="H311" s="108"/>
      <c r="I311" s="108"/>
      <c r="J311" s="108"/>
      <c r="K311" s="108"/>
    </row>
    <row r="312" spans="2:11" ht="24.95" hidden="1" customHeight="1">
      <c r="B312" s="127" t="s">
        <v>161</v>
      </c>
      <c r="C312" s="128"/>
      <c r="D312" s="129"/>
      <c r="E312" s="130" t="s">
        <v>282</v>
      </c>
      <c r="F312" s="130"/>
      <c r="G312" s="130"/>
      <c r="H312" s="130"/>
      <c r="I312" s="130"/>
      <c r="J312" s="130"/>
      <c r="K312" s="130"/>
    </row>
    <row r="313" spans="2:11" ht="24.95" hidden="1" customHeight="1">
      <c r="B313" s="127" t="s">
        <v>162</v>
      </c>
      <c r="C313" s="128"/>
      <c r="D313" s="129"/>
      <c r="E313" s="130" t="s">
        <v>283</v>
      </c>
      <c r="F313" s="130"/>
      <c r="G313" s="130"/>
      <c r="H313" s="130"/>
      <c r="I313" s="130"/>
      <c r="J313" s="130"/>
      <c r="K313" s="130"/>
    </row>
    <row r="314" spans="2:11" ht="24.95" hidden="1" customHeight="1">
      <c r="B314" s="127" t="s">
        <v>163</v>
      </c>
      <c r="C314" s="128"/>
      <c r="D314" s="129"/>
      <c r="E314" s="130" t="s">
        <v>284</v>
      </c>
      <c r="F314" s="130"/>
      <c r="G314" s="130"/>
      <c r="H314" s="130"/>
      <c r="I314" s="130"/>
      <c r="J314" s="130"/>
      <c r="K314" s="130"/>
    </row>
    <row r="315" spans="2:11" ht="24.95" hidden="1" customHeight="1">
      <c r="B315" s="127" t="s">
        <v>164</v>
      </c>
      <c r="C315" s="128"/>
      <c r="D315" s="129"/>
      <c r="E315" s="130" t="s">
        <v>285</v>
      </c>
      <c r="F315" s="130"/>
      <c r="G315" s="130"/>
      <c r="H315" s="130"/>
      <c r="I315" s="130"/>
      <c r="J315" s="130"/>
      <c r="K315" s="130"/>
    </row>
    <row r="316" spans="2:11" ht="24.95" hidden="1" customHeight="1">
      <c r="B316" s="127" t="s">
        <v>165</v>
      </c>
      <c r="C316" s="128"/>
      <c r="D316" s="129"/>
      <c r="E316" s="130" t="s">
        <v>286</v>
      </c>
      <c r="F316" s="130"/>
      <c r="G316" s="130"/>
      <c r="H316" s="130"/>
      <c r="I316" s="130"/>
      <c r="J316" s="130"/>
      <c r="K316" s="130"/>
    </row>
    <row r="317" spans="2:11" ht="24.95" hidden="1" customHeight="1">
      <c r="B317" s="127" t="s">
        <v>166</v>
      </c>
      <c r="C317" s="128"/>
      <c r="D317" s="129"/>
      <c r="E317" s="130" t="s">
        <v>287</v>
      </c>
      <c r="F317" s="130"/>
      <c r="G317" s="130"/>
      <c r="H317" s="130"/>
      <c r="I317" s="130"/>
      <c r="J317" s="130"/>
      <c r="K317" s="130"/>
    </row>
    <row r="318" spans="2:11" ht="24.95" hidden="1" customHeight="1">
      <c r="B318" s="127" t="s">
        <v>167</v>
      </c>
      <c r="C318" s="128"/>
      <c r="D318" s="129"/>
      <c r="E318" s="130" t="s">
        <v>288</v>
      </c>
      <c r="F318" s="130"/>
      <c r="G318" s="130"/>
      <c r="H318" s="130"/>
      <c r="I318" s="130"/>
      <c r="J318" s="130"/>
      <c r="K318" s="130"/>
    </row>
    <row r="319" spans="2:11" ht="24.95" hidden="1" customHeight="1">
      <c r="B319" s="127" t="s">
        <v>168</v>
      </c>
      <c r="C319" s="128"/>
      <c r="D319" s="129"/>
      <c r="E319" s="130" t="s">
        <v>289</v>
      </c>
      <c r="F319" s="130"/>
      <c r="G319" s="130"/>
      <c r="H319" s="130"/>
      <c r="I319" s="130"/>
      <c r="J319" s="130"/>
      <c r="K319" s="130"/>
    </row>
    <row r="320" spans="2:11" ht="24.95" hidden="1" customHeight="1">
      <c r="B320" s="127" t="s">
        <v>169</v>
      </c>
      <c r="C320" s="128"/>
      <c r="D320" s="129"/>
      <c r="E320" s="130" t="s">
        <v>290</v>
      </c>
      <c r="F320" s="130"/>
      <c r="G320" s="130"/>
      <c r="H320" s="130"/>
      <c r="I320" s="130"/>
      <c r="J320" s="130"/>
      <c r="K320" s="130"/>
    </row>
    <row r="321" spans="2:11" ht="200.1" hidden="1" customHeight="1">
      <c r="B321" s="127" t="s">
        <v>170</v>
      </c>
      <c r="C321" s="128"/>
      <c r="D321" s="129"/>
      <c r="E321" s="130" t="s">
        <v>330</v>
      </c>
      <c r="F321" s="130"/>
      <c r="G321" s="130"/>
      <c r="H321" s="130"/>
      <c r="I321" s="130"/>
      <c r="J321" s="130"/>
      <c r="K321" s="130"/>
    </row>
    <row r="322" spans="2:11" hidden="1"/>
    <row r="323" spans="2:11" hidden="1"/>
    <row r="324" spans="2:11" ht="20.25" hidden="1">
      <c r="B324" s="108" t="s">
        <v>191</v>
      </c>
      <c r="C324" s="108"/>
      <c r="D324" s="108"/>
      <c r="E324" s="108"/>
      <c r="F324" s="108"/>
      <c r="G324" s="108"/>
      <c r="H324" s="108"/>
      <c r="I324" s="108"/>
      <c r="J324" s="108"/>
      <c r="K324" s="108"/>
    </row>
    <row r="325" spans="2:11" ht="24.95" hidden="1" customHeight="1">
      <c r="B325" s="127" t="s">
        <v>161</v>
      </c>
      <c r="C325" s="128"/>
      <c r="D325" s="129"/>
      <c r="E325" s="130" t="s">
        <v>291</v>
      </c>
      <c r="F325" s="130"/>
      <c r="G325" s="130"/>
      <c r="H325" s="130"/>
      <c r="I325" s="130"/>
      <c r="J325" s="130"/>
      <c r="K325" s="130"/>
    </row>
    <row r="326" spans="2:11" ht="24.95" hidden="1" customHeight="1">
      <c r="B326" s="127" t="s">
        <v>162</v>
      </c>
      <c r="C326" s="128"/>
      <c r="D326" s="129"/>
      <c r="E326" s="130" t="s">
        <v>292</v>
      </c>
      <c r="F326" s="130"/>
      <c r="G326" s="130"/>
      <c r="H326" s="130"/>
      <c r="I326" s="130"/>
      <c r="J326" s="130"/>
      <c r="K326" s="130"/>
    </row>
    <row r="327" spans="2:11" ht="24.95" hidden="1" customHeight="1">
      <c r="B327" s="127" t="s">
        <v>163</v>
      </c>
      <c r="C327" s="128"/>
      <c r="D327" s="129"/>
      <c r="E327" s="130" t="s">
        <v>293</v>
      </c>
      <c r="F327" s="130"/>
      <c r="G327" s="130"/>
      <c r="H327" s="130"/>
      <c r="I327" s="130"/>
      <c r="J327" s="130"/>
      <c r="K327" s="130"/>
    </row>
    <row r="328" spans="2:11" ht="24.95" hidden="1" customHeight="1">
      <c r="B328" s="127" t="s">
        <v>164</v>
      </c>
      <c r="C328" s="128"/>
      <c r="D328" s="129"/>
      <c r="E328" s="130" t="s">
        <v>294</v>
      </c>
      <c r="F328" s="130"/>
      <c r="G328" s="130"/>
      <c r="H328" s="130"/>
      <c r="I328" s="130"/>
      <c r="J328" s="130"/>
      <c r="K328" s="130"/>
    </row>
    <row r="329" spans="2:11" ht="24.95" hidden="1" customHeight="1">
      <c r="B329" s="127" t="s">
        <v>165</v>
      </c>
      <c r="C329" s="128"/>
      <c r="D329" s="129"/>
      <c r="E329" s="130" t="s">
        <v>295</v>
      </c>
      <c r="F329" s="130"/>
      <c r="G329" s="130"/>
      <c r="H329" s="130"/>
      <c r="I329" s="130"/>
      <c r="J329" s="130"/>
      <c r="K329" s="130"/>
    </row>
    <row r="330" spans="2:11" ht="24.95" hidden="1" customHeight="1">
      <c r="B330" s="127" t="s">
        <v>166</v>
      </c>
      <c r="C330" s="128"/>
      <c r="D330" s="129"/>
      <c r="E330" s="130" t="s">
        <v>296</v>
      </c>
      <c r="F330" s="130"/>
      <c r="G330" s="130"/>
      <c r="H330" s="130"/>
      <c r="I330" s="130"/>
      <c r="J330" s="130"/>
      <c r="K330" s="130"/>
    </row>
    <row r="331" spans="2:11" ht="24.95" hidden="1" customHeight="1">
      <c r="B331" s="127" t="s">
        <v>167</v>
      </c>
      <c r="C331" s="128"/>
      <c r="D331" s="129"/>
      <c r="E331" s="130" t="s">
        <v>297</v>
      </c>
      <c r="F331" s="130"/>
      <c r="G331" s="130"/>
      <c r="H331" s="130"/>
      <c r="I331" s="130"/>
      <c r="J331" s="130"/>
      <c r="K331" s="130"/>
    </row>
    <row r="332" spans="2:11" ht="24.95" hidden="1" customHeight="1">
      <c r="B332" s="127" t="s">
        <v>168</v>
      </c>
      <c r="C332" s="128"/>
      <c r="D332" s="129"/>
      <c r="E332" s="130" t="s">
        <v>298</v>
      </c>
      <c r="F332" s="130"/>
      <c r="G332" s="130"/>
      <c r="H332" s="130"/>
      <c r="I332" s="130"/>
      <c r="J332" s="130"/>
      <c r="K332" s="130"/>
    </row>
    <row r="333" spans="2:11" ht="35.1" hidden="1" customHeight="1">
      <c r="B333" s="127" t="s">
        <v>169</v>
      </c>
      <c r="C333" s="128"/>
      <c r="D333" s="129"/>
      <c r="E333" s="130" t="s">
        <v>331</v>
      </c>
      <c r="F333" s="130"/>
      <c r="G333" s="130"/>
      <c r="H333" s="130"/>
      <c r="I333" s="130"/>
      <c r="J333" s="130"/>
      <c r="K333" s="130"/>
    </row>
    <row r="334" spans="2:11" ht="200.1" hidden="1" customHeight="1">
      <c r="B334" s="127" t="s">
        <v>170</v>
      </c>
      <c r="C334" s="128"/>
      <c r="D334" s="129"/>
      <c r="E334" s="130" t="s">
        <v>332</v>
      </c>
      <c r="F334" s="130"/>
      <c r="G334" s="130"/>
      <c r="H334" s="130"/>
      <c r="I334" s="130"/>
      <c r="J334" s="130"/>
      <c r="K334" s="130"/>
    </row>
    <row r="335" spans="2:11" hidden="1"/>
    <row r="336" spans="2:11" hidden="1"/>
    <row r="337" spans="2:11" ht="20.25" hidden="1">
      <c r="B337" s="108" t="s">
        <v>192</v>
      </c>
      <c r="C337" s="108"/>
      <c r="D337" s="108"/>
      <c r="E337" s="108"/>
      <c r="F337" s="108"/>
      <c r="G337" s="108"/>
      <c r="H337" s="108"/>
      <c r="I337" s="108"/>
      <c r="J337" s="108"/>
      <c r="K337" s="108"/>
    </row>
    <row r="338" spans="2:11" ht="24.95" hidden="1" customHeight="1">
      <c r="B338" s="127" t="s">
        <v>161</v>
      </c>
      <c r="C338" s="128"/>
      <c r="D338" s="129"/>
      <c r="E338" s="130" t="s">
        <v>299</v>
      </c>
      <c r="F338" s="130"/>
      <c r="G338" s="130"/>
      <c r="H338" s="130"/>
      <c r="I338" s="130"/>
      <c r="J338" s="130"/>
      <c r="K338" s="130"/>
    </row>
    <row r="339" spans="2:11" ht="24.95" hidden="1" customHeight="1">
      <c r="B339" s="127" t="s">
        <v>162</v>
      </c>
      <c r="C339" s="128"/>
      <c r="D339" s="129"/>
      <c r="E339" s="130" t="s">
        <v>300</v>
      </c>
      <c r="F339" s="130"/>
      <c r="G339" s="130"/>
      <c r="H339" s="130"/>
      <c r="I339" s="130"/>
      <c r="J339" s="130"/>
      <c r="K339" s="130"/>
    </row>
    <row r="340" spans="2:11" ht="24.95" hidden="1" customHeight="1">
      <c r="B340" s="127" t="s">
        <v>163</v>
      </c>
      <c r="C340" s="128"/>
      <c r="D340" s="129"/>
      <c r="E340" s="130" t="s">
        <v>301</v>
      </c>
      <c r="F340" s="130"/>
      <c r="G340" s="130"/>
      <c r="H340" s="130"/>
      <c r="I340" s="130"/>
      <c r="J340" s="130"/>
      <c r="K340" s="130"/>
    </row>
    <row r="341" spans="2:11" ht="24.95" hidden="1" customHeight="1">
      <c r="B341" s="127" t="s">
        <v>164</v>
      </c>
      <c r="C341" s="128"/>
      <c r="D341" s="129"/>
      <c r="E341" s="130" t="s">
        <v>302</v>
      </c>
      <c r="F341" s="130"/>
      <c r="G341" s="130"/>
      <c r="H341" s="130"/>
      <c r="I341" s="130"/>
      <c r="J341" s="130"/>
      <c r="K341" s="130"/>
    </row>
    <row r="342" spans="2:11" ht="24.95" hidden="1" customHeight="1">
      <c r="B342" s="127" t="s">
        <v>165</v>
      </c>
      <c r="C342" s="128"/>
      <c r="D342" s="129"/>
      <c r="E342" s="130" t="s">
        <v>303</v>
      </c>
      <c r="F342" s="130"/>
      <c r="G342" s="130"/>
      <c r="H342" s="130"/>
      <c r="I342" s="130"/>
      <c r="J342" s="130"/>
      <c r="K342" s="130"/>
    </row>
    <row r="343" spans="2:11" ht="24.95" hidden="1" customHeight="1">
      <c r="B343" s="127" t="s">
        <v>166</v>
      </c>
      <c r="C343" s="128"/>
      <c r="D343" s="129"/>
      <c r="E343" s="130" t="s">
        <v>304</v>
      </c>
      <c r="F343" s="130"/>
      <c r="G343" s="130"/>
      <c r="H343" s="130"/>
      <c r="I343" s="130"/>
      <c r="J343" s="130"/>
      <c r="K343" s="130"/>
    </row>
    <row r="344" spans="2:11" ht="24.95" hidden="1" customHeight="1">
      <c r="B344" s="127" t="s">
        <v>167</v>
      </c>
      <c r="C344" s="128"/>
      <c r="D344" s="129"/>
      <c r="E344" s="130" t="s">
        <v>305</v>
      </c>
      <c r="F344" s="130"/>
      <c r="G344" s="130"/>
      <c r="H344" s="130"/>
      <c r="I344" s="130"/>
      <c r="J344" s="130"/>
      <c r="K344" s="130"/>
    </row>
    <row r="345" spans="2:11" ht="24.95" hidden="1" customHeight="1">
      <c r="B345" s="127" t="s">
        <v>168</v>
      </c>
      <c r="C345" s="128"/>
      <c r="D345" s="129"/>
      <c r="E345" s="130" t="s">
        <v>306</v>
      </c>
      <c r="F345" s="130"/>
      <c r="G345" s="130"/>
      <c r="H345" s="130"/>
      <c r="I345" s="130"/>
      <c r="J345" s="130"/>
      <c r="K345" s="130"/>
    </row>
    <row r="346" spans="2:11" ht="24.95" hidden="1" customHeight="1">
      <c r="B346" s="127" t="s">
        <v>169</v>
      </c>
      <c r="C346" s="128"/>
      <c r="D346" s="129"/>
      <c r="E346" s="130" t="s">
        <v>307</v>
      </c>
      <c r="F346" s="130"/>
      <c r="G346" s="130"/>
      <c r="H346" s="130"/>
      <c r="I346" s="130"/>
      <c r="J346" s="130"/>
      <c r="K346" s="130"/>
    </row>
    <row r="347" spans="2:11" ht="200.1" hidden="1" customHeight="1">
      <c r="B347" s="127" t="s">
        <v>170</v>
      </c>
      <c r="C347" s="128"/>
      <c r="D347" s="129"/>
      <c r="E347" s="130" t="s">
        <v>333</v>
      </c>
      <c r="F347" s="130"/>
      <c r="G347" s="130"/>
      <c r="H347" s="130"/>
      <c r="I347" s="130"/>
      <c r="J347" s="130"/>
      <c r="K347" s="130"/>
    </row>
    <row r="348" spans="2:11" s="63" customFormat="1" ht="17.25" hidden="1" customHeight="1">
      <c r="B348" s="138" t="s">
        <v>348</v>
      </c>
      <c r="C348" s="139"/>
      <c r="D348" s="139"/>
      <c r="E348" s="140"/>
      <c r="F348" s="140"/>
      <c r="G348" s="64"/>
      <c r="H348" s="64"/>
      <c r="I348" s="64"/>
      <c r="J348" s="64"/>
      <c r="K348" s="64"/>
    </row>
    <row r="349" spans="2:11" ht="15" hidden="1">
      <c r="B349" s="58" t="s">
        <v>340</v>
      </c>
      <c r="C349" s="59" t="s">
        <v>341</v>
      </c>
    </row>
    <row r="350" spans="2:11" hidden="1">
      <c r="B350" s="60">
        <v>5674</v>
      </c>
      <c r="C350" s="56" t="s">
        <v>182</v>
      </c>
    </row>
    <row r="351" spans="2:11" hidden="1">
      <c r="B351" s="60">
        <v>5673</v>
      </c>
      <c r="C351" s="65" t="s">
        <v>182</v>
      </c>
    </row>
    <row r="352" spans="2:11" hidden="1">
      <c r="B352" s="60">
        <v>5672</v>
      </c>
      <c r="C352" s="56" t="s">
        <v>182</v>
      </c>
    </row>
    <row r="353" spans="2:3" hidden="1">
      <c r="B353" s="60">
        <v>5671</v>
      </c>
      <c r="C353" s="56" t="s">
        <v>182</v>
      </c>
    </row>
    <row r="354" spans="2:3" hidden="1">
      <c r="B354" s="60">
        <v>5574</v>
      </c>
      <c r="C354" s="56" t="s">
        <v>182</v>
      </c>
    </row>
    <row r="355" spans="2:3" hidden="1">
      <c r="B355" s="60">
        <v>5573</v>
      </c>
      <c r="C355" s="56" t="s">
        <v>182</v>
      </c>
    </row>
    <row r="356" spans="2:3" hidden="1">
      <c r="B356" s="60">
        <v>5572</v>
      </c>
      <c r="C356" s="56" t="s">
        <v>182</v>
      </c>
    </row>
    <row r="357" spans="2:3" hidden="1">
      <c r="B357" s="60">
        <v>5571</v>
      </c>
      <c r="C357" s="56" t="s">
        <v>182</v>
      </c>
    </row>
    <row r="358" spans="2:3" hidden="1">
      <c r="B358" s="60">
        <v>5564</v>
      </c>
      <c r="C358" s="56" t="s">
        <v>182</v>
      </c>
    </row>
    <row r="359" spans="2:3" hidden="1">
      <c r="B359" s="60">
        <v>5563</v>
      </c>
      <c r="C359" s="56" t="s">
        <v>182</v>
      </c>
    </row>
    <row r="360" spans="2:3" hidden="1">
      <c r="B360" s="60">
        <v>5562</v>
      </c>
      <c r="C360" s="56" t="s">
        <v>182</v>
      </c>
    </row>
    <row r="361" spans="2:3" hidden="1">
      <c r="B361" s="60">
        <v>5561</v>
      </c>
      <c r="C361" s="56" t="s">
        <v>182</v>
      </c>
    </row>
    <row r="362" spans="2:3" hidden="1">
      <c r="B362" s="60">
        <v>4674</v>
      </c>
      <c r="C362" s="56" t="s">
        <v>182</v>
      </c>
    </row>
    <row r="363" spans="2:3" hidden="1">
      <c r="B363" s="60">
        <v>4673</v>
      </c>
      <c r="C363" s="56" t="s">
        <v>182</v>
      </c>
    </row>
    <row r="364" spans="2:3" hidden="1">
      <c r="B364" s="60">
        <v>4672</v>
      </c>
      <c r="C364" s="56" t="s">
        <v>182</v>
      </c>
    </row>
    <row r="365" spans="2:3" hidden="1">
      <c r="B365" s="60">
        <v>4671</v>
      </c>
      <c r="C365" s="56" t="s">
        <v>182</v>
      </c>
    </row>
    <row r="366" spans="2:3" hidden="1">
      <c r="B366" s="60">
        <v>4574</v>
      </c>
      <c r="C366" s="56" t="s">
        <v>182</v>
      </c>
    </row>
    <row r="367" spans="2:3" hidden="1">
      <c r="B367" s="60">
        <v>4573</v>
      </c>
      <c r="C367" s="56" t="s">
        <v>182</v>
      </c>
    </row>
    <row r="368" spans="2:3" hidden="1">
      <c r="B368" s="60">
        <v>4572</v>
      </c>
      <c r="C368" s="56" t="s">
        <v>182</v>
      </c>
    </row>
    <row r="369" spans="2:3" hidden="1">
      <c r="B369" s="60">
        <v>4571</v>
      </c>
      <c r="C369" s="56" t="s">
        <v>182</v>
      </c>
    </row>
    <row r="370" spans="2:3" hidden="1">
      <c r="B370" s="60">
        <v>4564</v>
      </c>
      <c r="C370" s="56" t="s">
        <v>182</v>
      </c>
    </row>
    <row r="371" spans="2:3" hidden="1">
      <c r="B371" s="60">
        <v>4563</v>
      </c>
      <c r="C371" s="56" t="s">
        <v>182</v>
      </c>
    </row>
    <row r="372" spans="2:3" hidden="1">
      <c r="B372" s="60">
        <v>4562</v>
      </c>
      <c r="C372" s="56" t="s">
        <v>182</v>
      </c>
    </row>
    <row r="373" spans="2:3" hidden="1">
      <c r="B373" s="60">
        <v>4561</v>
      </c>
      <c r="C373" s="56" t="s">
        <v>182</v>
      </c>
    </row>
    <row r="374" spans="2:3" hidden="1">
      <c r="B374" s="60">
        <v>3674</v>
      </c>
      <c r="C374" s="56" t="s">
        <v>182</v>
      </c>
    </row>
    <row r="375" spans="2:3" hidden="1">
      <c r="B375" s="60">
        <v>3673</v>
      </c>
      <c r="C375" s="56" t="s">
        <v>182</v>
      </c>
    </row>
    <row r="376" spans="2:3" hidden="1">
      <c r="B376" s="60">
        <v>3672</v>
      </c>
      <c r="C376" s="56" t="s">
        <v>182</v>
      </c>
    </row>
    <row r="377" spans="2:3" hidden="1">
      <c r="B377" s="60">
        <v>3671</v>
      </c>
      <c r="C377" s="56" t="s">
        <v>182</v>
      </c>
    </row>
    <row r="378" spans="2:3" hidden="1">
      <c r="B378" s="60">
        <v>3574</v>
      </c>
      <c r="C378" s="56" t="s">
        <v>182</v>
      </c>
    </row>
    <row r="379" spans="2:3" hidden="1">
      <c r="B379" s="60">
        <v>3573</v>
      </c>
      <c r="C379" s="56" t="s">
        <v>182</v>
      </c>
    </row>
    <row r="380" spans="2:3" hidden="1">
      <c r="B380" s="60">
        <v>3572</v>
      </c>
      <c r="C380" s="56" t="s">
        <v>182</v>
      </c>
    </row>
    <row r="381" spans="2:3" hidden="1">
      <c r="B381" s="60">
        <v>3571</v>
      </c>
      <c r="C381" s="56" t="s">
        <v>182</v>
      </c>
    </row>
    <row r="382" spans="2:3" hidden="1">
      <c r="B382" s="60">
        <v>3564</v>
      </c>
      <c r="C382" s="56" t="s">
        <v>182</v>
      </c>
    </row>
    <row r="383" spans="2:3" hidden="1">
      <c r="B383" s="60">
        <v>3563</v>
      </c>
      <c r="C383" s="56" t="s">
        <v>182</v>
      </c>
    </row>
    <row r="384" spans="2:3" hidden="1">
      <c r="B384" s="60">
        <v>3562</v>
      </c>
      <c r="C384" s="56" t="s">
        <v>182</v>
      </c>
    </row>
    <row r="385" spans="2:3" hidden="1">
      <c r="B385" s="60">
        <v>3561</v>
      </c>
      <c r="C385" s="56" t="s">
        <v>182</v>
      </c>
    </row>
    <row r="386" spans="2:3" hidden="1">
      <c r="B386" s="60">
        <v>2674</v>
      </c>
      <c r="C386" s="56" t="s">
        <v>182</v>
      </c>
    </row>
    <row r="387" spans="2:3" hidden="1">
      <c r="B387" s="60">
        <v>2673</v>
      </c>
      <c r="C387" s="56" t="s">
        <v>182</v>
      </c>
    </row>
    <row r="388" spans="2:3" hidden="1">
      <c r="B388" s="60">
        <v>2672</v>
      </c>
      <c r="C388" s="56" t="s">
        <v>182</v>
      </c>
    </row>
    <row r="389" spans="2:3" hidden="1">
      <c r="B389" s="60">
        <v>2671</v>
      </c>
      <c r="C389" s="56" t="s">
        <v>182</v>
      </c>
    </row>
    <row r="390" spans="2:3" hidden="1">
      <c r="B390" s="60">
        <v>2574</v>
      </c>
      <c r="C390" s="56" t="s">
        <v>182</v>
      </c>
    </row>
    <row r="391" spans="2:3" hidden="1">
      <c r="B391" s="60">
        <v>2573</v>
      </c>
      <c r="C391" s="56" t="s">
        <v>182</v>
      </c>
    </row>
    <row r="392" spans="2:3" hidden="1">
      <c r="B392" s="60">
        <v>2572</v>
      </c>
      <c r="C392" s="56" t="s">
        <v>182</v>
      </c>
    </row>
    <row r="393" spans="2:3" hidden="1">
      <c r="B393" s="60">
        <v>2571</v>
      </c>
      <c r="C393" s="56" t="s">
        <v>182</v>
      </c>
    </row>
    <row r="394" spans="2:3" hidden="1">
      <c r="B394" s="60">
        <v>2564</v>
      </c>
      <c r="C394" s="56" t="s">
        <v>182</v>
      </c>
    </row>
    <row r="395" spans="2:3" hidden="1">
      <c r="B395" s="60">
        <v>2563</v>
      </c>
      <c r="C395" s="56" t="s">
        <v>182</v>
      </c>
    </row>
    <row r="396" spans="2:3" hidden="1">
      <c r="B396" s="60">
        <v>2562</v>
      </c>
      <c r="C396" s="56" t="s">
        <v>182</v>
      </c>
    </row>
    <row r="397" spans="2:3" hidden="1">
      <c r="B397" s="60">
        <v>2561</v>
      </c>
      <c r="C397" s="56" t="s">
        <v>182</v>
      </c>
    </row>
    <row r="398" spans="2:3" hidden="1">
      <c r="B398" s="60">
        <v>1674</v>
      </c>
      <c r="C398" s="56" t="s">
        <v>182</v>
      </c>
    </row>
    <row r="399" spans="2:3" hidden="1">
      <c r="B399" s="60">
        <v>1673</v>
      </c>
      <c r="C399" s="56" t="s">
        <v>182</v>
      </c>
    </row>
    <row r="400" spans="2:3" hidden="1">
      <c r="B400" s="60">
        <v>1672</v>
      </c>
      <c r="C400" s="56" t="s">
        <v>182</v>
      </c>
    </row>
    <row r="401" spans="2:3" hidden="1">
      <c r="B401" s="60">
        <v>1671</v>
      </c>
      <c r="C401" s="56" t="s">
        <v>182</v>
      </c>
    </row>
    <row r="402" spans="2:3" hidden="1">
      <c r="B402" s="60">
        <v>1574</v>
      </c>
      <c r="C402" s="56" t="s">
        <v>182</v>
      </c>
    </row>
    <row r="403" spans="2:3" hidden="1">
      <c r="B403" s="60">
        <v>1573</v>
      </c>
      <c r="C403" s="56" t="s">
        <v>182</v>
      </c>
    </row>
    <row r="404" spans="2:3" hidden="1">
      <c r="B404" s="60">
        <v>1572</v>
      </c>
      <c r="C404" s="56" t="s">
        <v>182</v>
      </c>
    </row>
    <row r="405" spans="2:3" hidden="1">
      <c r="B405" s="60">
        <v>1571</v>
      </c>
      <c r="C405" s="56" t="s">
        <v>182</v>
      </c>
    </row>
    <row r="406" spans="2:3" hidden="1">
      <c r="B406" s="60">
        <v>1564</v>
      </c>
      <c r="C406" s="56" t="s">
        <v>182</v>
      </c>
    </row>
    <row r="407" spans="2:3" hidden="1">
      <c r="B407" s="60">
        <v>1563</v>
      </c>
      <c r="C407" s="56" t="s">
        <v>182</v>
      </c>
    </row>
    <row r="408" spans="2:3" hidden="1">
      <c r="B408" s="60">
        <v>1562</v>
      </c>
      <c r="C408" s="56" t="s">
        <v>182</v>
      </c>
    </row>
    <row r="409" spans="2:3" hidden="1">
      <c r="B409" s="60">
        <v>1561</v>
      </c>
      <c r="C409" s="56" t="s">
        <v>182</v>
      </c>
    </row>
    <row r="410" spans="2:3" hidden="1">
      <c r="B410" s="61">
        <v>7774</v>
      </c>
      <c r="C410" s="56" t="s">
        <v>143</v>
      </c>
    </row>
    <row r="411" spans="2:3" hidden="1">
      <c r="B411" s="61">
        <v>7773</v>
      </c>
      <c r="C411" s="56" t="s">
        <v>143</v>
      </c>
    </row>
    <row r="412" spans="2:3" hidden="1">
      <c r="B412" s="61">
        <v>7772</v>
      </c>
      <c r="C412" s="56" t="s">
        <v>143</v>
      </c>
    </row>
    <row r="413" spans="2:3" hidden="1">
      <c r="B413" s="61">
        <v>7771</v>
      </c>
      <c r="C413" s="56" t="s">
        <v>143</v>
      </c>
    </row>
    <row r="414" spans="2:3" hidden="1">
      <c r="B414" s="61">
        <v>7764</v>
      </c>
      <c r="C414" s="56" t="s">
        <v>143</v>
      </c>
    </row>
    <row r="415" spans="2:3" hidden="1">
      <c r="B415" s="61">
        <v>7763</v>
      </c>
      <c r="C415" s="56" t="s">
        <v>143</v>
      </c>
    </row>
    <row r="416" spans="2:3" hidden="1">
      <c r="B416" s="61">
        <v>7762</v>
      </c>
      <c r="C416" s="56" t="s">
        <v>143</v>
      </c>
    </row>
    <row r="417" spans="2:3" hidden="1">
      <c r="B417" s="61">
        <v>7761</v>
      </c>
      <c r="C417" s="56" t="s">
        <v>143</v>
      </c>
    </row>
    <row r="418" spans="2:3" hidden="1">
      <c r="B418" s="61">
        <v>7754</v>
      </c>
      <c r="C418" s="56" t="s">
        <v>143</v>
      </c>
    </row>
    <row r="419" spans="2:3" hidden="1">
      <c r="B419" s="61">
        <v>7753</v>
      </c>
      <c r="C419" s="56" t="s">
        <v>143</v>
      </c>
    </row>
    <row r="420" spans="2:3" hidden="1">
      <c r="B420" s="61">
        <v>7752</v>
      </c>
      <c r="C420" s="56" t="s">
        <v>143</v>
      </c>
    </row>
    <row r="421" spans="2:3" hidden="1">
      <c r="B421" s="61">
        <v>7751</v>
      </c>
      <c r="C421" s="56" t="s">
        <v>143</v>
      </c>
    </row>
    <row r="422" spans="2:3" hidden="1">
      <c r="B422" s="61">
        <v>7744</v>
      </c>
      <c r="C422" s="56" t="s">
        <v>143</v>
      </c>
    </row>
    <row r="423" spans="2:3" hidden="1">
      <c r="B423" s="61">
        <v>7743</v>
      </c>
      <c r="C423" s="56" t="s">
        <v>143</v>
      </c>
    </row>
    <row r="424" spans="2:3" hidden="1">
      <c r="B424" s="61">
        <v>7742</v>
      </c>
      <c r="C424" s="56" t="s">
        <v>143</v>
      </c>
    </row>
    <row r="425" spans="2:3" hidden="1">
      <c r="B425" s="61">
        <v>7741</v>
      </c>
      <c r="C425" s="56" t="s">
        <v>143</v>
      </c>
    </row>
    <row r="426" spans="2:3" hidden="1">
      <c r="B426" s="61">
        <v>7734</v>
      </c>
      <c r="C426" s="56" t="s">
        <v>143</v>
      </c>
    </row>
    <row r="427" spans="2:3" hidden="1">
      <c r="B427" s="61">
        <v>7733</v>
      </c>
      <c r="C427" s="56" t="s">
        <v>143</v>
      </c>
    </row>
    <row r="428" spans="2:3" hidden="1">
      <c r="B428" s="61">
        <v>7732</v>
      </c>
      <c r="C428" s="56" t="s">
        <v>143</v>
      </c>
    </row>
    <row r="429" spans="2:3" hidden="1">
      <c r="B429" s="61">
        <v>7731</v>
      </c>
      <c r="C429" s="56" t="s">
        <v>143</v>
      </c>
    </row>
    <row r="430" spans="2:3" hidden="1">
      <c r="B430" s="61">
        <v>7724</v>
      </c>
      <c r="C430" s="56" t="s">
        <v>143</v>
      </c>
    </row>
    <row r="431" spans="2:3" hidden="1">
      <c r="B431" s="61">
        <v>7723</v>
      </c>
      <c r="C431" s="56" t="s">
        <v>143</v>
      </c>
    </row>
    <row r="432" spans="2:3" hidden="1">
      <c r="B432" s="61">
        <v>7722</v>
      </c>
      <c r="C432" s="56" t="s">
        <v>143</v>
      </c>
    </row>
    <row r="433" spans="2:3" hidden="1">
      <c r="B433" s="61">
        <v>7721</v>
      </c>
      <c r="C433" s="56" t="s">
        <v>143</v>
      </c>
    </row>
    <row r="434" spans="2:3" hidden="1">
      <c r="B434" s="61">
        <v>7714</v>
      </c>
      <c r="C434" s="56" t="s">
        <v>143</v>
      </c>
    </row>
    <row r="435" spans="2:3" hidden="1">
      <c r="B435" s="61">
        <v>7713</v>
      </c>
      <c r="C435" s="56" t="s">
        <v>143</v>
      </c>
    </row>
    <row r="436" spans="2:3" hidden="1">
      <c r="B436" s="61">
        <v>7712</v>
      </c>
      <c r="C436" s="56" t="s">
        <v>143</v>
      </c>
    </row>
    <row r="437" spans="2:3" hidden="1">
      <c r="B437" s="61">
        <v>7711</v>
      </c>
      <c r="C437" s="56" t="s">
        <v>143</v>
      </c>
    </row>
    <row r="438" spans="2:3" hidden="1">
      <c r="B438" s="61">
        <v>7664</v>
      </c>
      <c r="C438" s="56" t="s">
        <v>143</v>
      </c>
    </row>
    <row r="439" spans="2:3" hidden="1">
      <c r="B439" s="61">
        <v>7663</v>
      </c>
      <c r="C439" s="56" t="s">
        <v>143</v>
      </c>
    </row>
    <row r="440" spans="2:3" hidden="1">
      <c r="B440" s="61">
        <v>7662</v>
      </c>
      <c r="C440" s="56" t="s">
        <v>143</v>
      </c>
    </row>
    <row r="441" spans="2:3" hidden="1">
      <c r="B441" s="61">
        <v>7661</v>
      </c>
      <c r="C441" s="56" t="s">
        <v>143</v>
      </c>
    </row>
    <row r="442" spans="2:3" hidden="1">
      <c r="B442" s="61">
        <v>7654</v>
      </c>
      <c r="C442" s="56" t="s">
        <v>143</v>
      </c>
    </row>
    <row r="443" spans="2:3" hidden="1">
      <c r="B443" s="61">
        <v>7653</v>
      </c>
      <c r="C443" s="56" t="s">
        <v>143</v>
      </c>
    </row>
    <row r="444" spans="2:3" hidden="1">
      <c r="B444" s="61">
        <v>7652</v>
      </c>
      <c r="C444" s="56" t="s">
        <v>143</v>
      </c>
    </row>
    <row r="445" spans="2:3" hidden="1">
      <c r="B445" s="61">
        <v>7651</v>
      </c>
      <c r="C445" s="56" t="s">
        <v>143</v>
      </c>
    </row>
    <row r="446" spans="2:3" hidden="1">
      <c r="B446" s="61">
        <v>7644</v>
      </c>
      <c r="C446" s="56" t="s">
        <v>143</v>
      </c>
    </row>
    <row r="447" spans="2:3" hidden="1">
      <c r="B447" s="61">
        <v>7643</v>
      </c>
      <c r="C447" s="56" t="s">
        <v>143</v>
      </c>
    </row>
    <row r="448" spans="2:3" hidden="1">
      <c r="B448" s="61">
        <v>7642</v>
      </c>
      <c r="C448" s="56" t="s">
        <v>143</v>
      </c>
    </row>
    <row r="449" spans="2:3" hidden="1">
      <c r="B449" s="61">
        <v>7641</v>
      </c>
      <c r="C449" s="56" t="s">
        <v>143</v>
      </c>
    </row>
    <row r="450" spans="2:3" hidden="1">
      <c r="B450" s="61">
        <v>7634</v>
      </c>
      <c r="C450" s="56" t="s">
        <v>143</v>
      </c>
    </row>
    <row r="451" spans="2:3" hidden="1">
      <c r="B451" s="61">
        <v>7633</v>
      </c>
      <c r="C451" s="56" t="s">
        <v>143</v>
      </c>
    </row>
    <row r="452" spans="2:3" hidden="1">
      <c r="B452" s="61">
        <v>7632</v>
      </c>
      <c r="C452" s="56" t="s">
        <v>143</v>
      </c>
    </row>
    <row r="453" spans="2:3" hidden="1">
      <c r="B453" s="61">
        <v>7631</v>
      </c>
      <c r="C453" s="56" t="s">
        <v>143</v>
      </c>
    </row>
    <row r="454" spans="2:3" hidden="1">
      <c r="B454" s="61">
        <v>7624</v>
      </c>
      <c r="C454" s="56" t="s">
        <v>143</v>
      </c>
    </row>
    <row r="455" spans="2:3" hidden="1">
      <c r="B455" s="61">
        <v>7623</v>
      </c>
      <c r="C455" s="56" t="s">
        <v>143</v>
      </c>
    </row>
    <row r="456" spans="2:3" hidden="1">
      <c r="B456" s="61">
        <v>7622</v>
      </c>
      <c r="C456" s="56" t="s">
        <v>143</v>
      </c>
    </row>
    <row r="457" spans="2:3" hidden="1">
      <c r="B457" s="61">
        <v>7621</v>
      </c>
      <c r="C457" s="56" t="s">
        <v>143</v>
      </c>
    </row>
    <row r="458" spans="2:3" hidden="1">
      <c r="B458" s="61">
        <v>7614</v>
      </c>
      <c r="C458" s="56" t="s">
        <v>143</v>
      </c>
    </row>
    <row r="459" spans="2:3" hidden="1">
      <c r="B459" s="61">
        <v>7613</v>
      </c>
      <c r="C459" s="56" t="s">
        <v>143</v>
      </c>
    </row>
    <row r="460" spans="2:3" hidden="1">
      <c r="B460" s="61">
        <v>7612</v>
      </c>
      <c r="C460" s="56" t="s">
        <v>143</v>
      </c>
    </row>
    <row r="461" spans="2:3" hidden="1">
      <c r="B461" s="61">
        <v>7611</v>
      </c>
      <c r="C461" s="56" t="s">
        <v>143</v>
      </c>
    </row>
    <row r="462" spans="2:3" hidden="1">
      <c r="B462" s="61">
        <v>6774</v>
      </c>
      <c r="C462" s="56" t="s">
        <v>143</v>
      </c>
    </row>
    <row r="463" spans="2:3" hidden="1">
      <c r="B463" s="61">
        <v>6773</v>
      </c>
      <c r="C463" s="56" t="s">
        <v>143</v>
      </c>
    </row>
    <row r="464" spans="2:3" hidden="1">
      <c r="B464" s="61">
        <v>6772</v>
      </c>
      <c r="C464" s="56" t="s">
        <v>143</v>
      </c>
    </row>
    <row r="465" spans="2:3" hidden="1">
      <c r="B465" s="61">
        <v>6771</v>
      </c>
      <c r="C465" s="56" t="s">
        <v>143</v>
      </c>
    </row>
    <row r="466" spans="2:3" hidden="1">
      <c r="B466" s="61">
        <v>6764</v>
      </c>
      <c r="C466" s="56" t="s">
        <v>143</v>
      </c>
    </row>
    <row r="467" spans="2:3" hidden="1">
      <c r="B467" s="61">
        <v>6763</v>
      </c>
      <c r="C467" s="56" t="s">
        <v>143</v>
      </c>
    </row>
    <row r="468" spans="2:3" hidden="1">
      <c r="B468" s="61">
        <v>6762</v>
      </c>
      <c r="C468" s="56" t="s">
        <v>143</v>
      </c>
    </row>
    <row r="469" spans="2:3" hidden="1">
      <c r="B469" s="61">
        <v>6761</v>
      </c>
      <c r="C469" s="56" t="s">
        <v>143</v>
      </c>
    </row>
    <row r="470" spans="2:3" hidden="1">
      <c r="B470" s="61">
        <v>6754</v>
      </c>
      <c r="C470" s="56" t="s">
        <v>143</v>
      </c>
    </row>
    <row r="471" spans="2:3" hidden="1">
      <c r="B471" s="61">
        <v>6753</v>
      </c>
      <c r="C471" s="56" t="s">
        <v>143</v>
      </c>
    </row>
    <row r="472" spans="2:3" hidden="1">
      <c r="B472" s="61">
        <v>6752</v>
      </c>
      <c r="C472" s="56" t="s">
        <v>143</v>
      </c>
    </row>
    <row r="473" spans="2:3" hidden="1">
      <c r="B473" s="61">
        <v>6751</v>
      </c>
      <c r="C473" s="56" t="s">
        <v>143</v>
      </c>
    </row>
    <row r="474" spans="2:3" hidden="1">
      <c r="B474" s="61">
        <v>6744</v>
      </c>
      <c r="C474" s="56" t="s">
        <v>143</v>
      </c>
    </row>
    <row r="475" spans="2:3" hidden="1">
      <c r="B475" s="61">
        <v>6743</v>
      </c>
      <c r="C475" s="56" t="s">
        <v>143</v>
      </c>
    </row>
    <row r="476" spans="2:3" hidden="1">
      <c r="B476" s="61">
        <v>6742</v>
      </c>
      <c r="C476" s="56" t="s">
        <v>143</v>
      </c>
    </row>
    <row r="477" spans="2:3" hidden="1">
      <c r="B477" s="61">
        <v>6741</v>
      </c>
      <c r="C477" s="56" t="s">
        <v>143</v>
      </c>
    </row>
    <row r="478" spans="2:3" hidden="1">
      <c r="B478" s="61">
        <v>6734</v>
      </c>
      <c r="C478" s="56" t="s">
        <v>143</v>
      </c>
    </row>
    <row r="479" spans="2:3" hidden="1">
      <c r="B479" s="61">
        <v>6733</v>
      </c>
      <c r="C479" s="56" t="s">
        <v>143</v>
      </c>
    </row>
    <row r="480" spans="2:3" hidden="1">
      <c r="B480" s="61">
        <v>6732</v>
      </c>
      <c r="C480" s="56" t="s">
        <v>143</v>
      </c>
    </row>
    <row r="481" spans="2:3" hidden="1">
      <c r="B481" s="61">
        <v>6731</v>
      </c>
      <c r="C481" s="56" t="s">
        <v>143</v>
      </c>
    </row>
    <row r="482" spans="2:3" hidden="1">
      <c r="B482" s="61">
        <v>6724</v>
      </c>
      <c r="C482" s="56" t="s">
        <v>143</v>
      </c>
    </row>
    <row r="483" spans="2:3" hidden="1">
      <c r="B483" s="61">
        <v>6723</v>
      </c>
      <c r="C483" s="56" t="s">
        <v>143</v>
      </c>
    </row>
    <row r="484" spans="2:3" hidden="1">
      <c r="B484" s="61">
        <v>6722</v>
      </c>
      <c r="C484" s="56" t="s">
        <v>143</v>
      </c>
    </row>
    <row r="485" spans="2:3" hidden="1">
      <c r="B485" s="61">
        <v>6721</v>
      </c>
      <c r="C485" s="56" t="s">
        <v>143</v>
      </c>
    </row>
    <row r="486" spans="2:3" hidden="1">
      <c r="B486" s="61">
        <v>6714</v>
      </c>
      <c r="C486" s="56" t="s">
        <v>143</v>
      </c>
    </row>
    <row r="487" spans="2:3" hidden="1">
      <c r="B487" s="61">
        <v>6713</v>
      </c>
      <c r="C487" s="56" t="s">
        <v>143</v>
      </c>
    </row>
    <row r="488" spans="2:3" hidden="1">
      <c r="B488" s="61">
        <v>6712</v>
      </c>
      <c r="C488" s="56" t="s">
        <v>143</v>
      </c>
    </row>
    <row r="489" spans="2:3" hidden="1">
      <c r="B489" s="61">
        <v>6711</v>
      </c>
      <c r="C489" s="56" t="s">
        <v>143</v>
      </c>
    </row>
    <row r="490" spans="2:3" hidden="1">
      <c r="B490" s="61">
        <v>6674</v>
      </c>
      <c r="C490" s="56" t="s">
        <v>143</v>
      </c>
    </row>
    <row r="491" spans="2:3" hidden="1">
      <c r="B491" s="61">
        <v>6673</v>
      </c>
      <c r="C491" s="56" t="s">
        <v>143</v>
      </c>
    </row>
    <row r="492" spans="2:3" hidden="1">
      <c r="B492" s="61">
        <v>6672</v>
      </c>
      <c r="C492" s="56" t="s">
        <v>143</v>
      </c>
    </row>
    <row r="493" spans="2:3" hidden="1">
      <c r="B493" s="61">
        <v>6671</v>
      </c>
      <c r="C493" s="56" t="s">
        <v>143</v>
      </c>
    </row>
    <row r="494" spans="2:3" hidden="1">
      <c r="B494" s="61">
        <v>6664</v>
      </c>
      <c r="C494" s="56" t="s">
        <v>143</v>
      </c>
    </row>
    <row r="495" spans="2:3" hidden="1">
      <c r="B495" s="61">
        <v>6663</v>
      </c>
      <c r="C495" s="56" t="s">
        <v>143</v>
      </c>
    </row>
    <row r="496" spans="2:3" hidden="1">
      <c r="B496" s="61">
        <v>6662</v>
      </c>
      <c r="C496" s="56" t="s">
        <v>143</v>
      </c>
    </row>
    <row r="497" spans="2:3" hidden="1">
      <c r="B497" s="61">
        <v>6661</v>
      </c>
      <c r="C497" s="56" t="s">
        <v>143</v>
      </c>
    </row>
    <row r="498" spans="2:3" hidden="1">
      <c r="B498" s="61">
        <v>6654</v>
      </c>
      <c r="C498" s="56" t="s">
        <v>143</v>
      </c>
    </row>
    <row r="499" spans="2:3" hidden="1">
      <c r="B499" s="61">
        <v>6653</v>
      </c>
      <c r="C499" s="56" t="s">
        <v>143</v>
      </c>
    </row>
    <row r="500" spans="2:3" hidden="1">
      <c r="B500" s="61">
        <v>6652</v>
      </c>
      <c r="C500" s="56" t="s">
        <v>143</v>
      </c>
    </row>
    <row r="501" spans="2:3" hidden="1">
      <c r="B501" s="61">
        <v>6651</v>
      </c>
      <c r="C501" s="56" t="s">
        <v>143</v>
      </c>
    </row>
    <row r="502" spans="2:3" hidden="1">
      <c r="B502" s="61">
        <v>6644</v>
      </c>
      <c r="C502" s="56" t="s">
        <v>143</v>
      </c>
    </row>
    <row r="503" spans="2:3" hidden="1">
      <c r="B503" s="61">
        <v>6643</v>
      </c>
      <c r="C503" s="56" t="s">
        <v>143</v>
      </c>
    </row>
    <row r="504" spans="2:3" hidden="1">
      <c r="B504" s="61">
        <v>6642</v>
      </c>
      <c r="C504" s="56" t="s">
        <v>143</v>
      </c>
    </row>
    <row r="505" spans="2:3" hidden="1">
      <c r="B505" s="61">
        <v>6641</v>
      </c>
      <c r="C505" s="56" t="s">
        <v>143</v>
      </c>
    </row>
    <row r="506" spans="2:3" hidden="1">
      <c r="B506" s="61">
        <v>6634</v>
      </c>
      <c r="C506" s="56" t="s">
        <v>143</v>
      </c>
    </row>
    <row r="507" spans="2:3" hidden="1">
      <c r="B507" s="61">
        <v>6633</v>
      </c>
      <c r="C507" s="56" t="s">
        <v>143</v>
      </c>
    </row>
    <row r="508" spans="2:3" hidden="1">
      <c r="B508" s="61">
        <v>6632</v>
      </c>
      <c r="C508" s="56" t="s">
        <v>143</v>
      </c>
    </row>
    <row r="509" spans="2:3" hidden="1">
      <c r="B509" s="61">
        <v>6631</v>
      </c>
      <c r="C509" s="56" t="s">
        <v>143</v>
      </c>
    </row>
    <row r="510" spans="2:3" hidden="1">
      <c r="B510" s="61">
        <v>6624</v>
      </c>
      <c r="C510" s="56" t="s">
        <v>143</v>
      </c>
    </row>
    <row r="511" spans="2:3" hidden="1">
      <c r="B511" s="61">
        <v>6623</v>
      </c>
      <c r="C511" s="56" t="s">
        <v>143</v>
      </c>
    </row>
    <row r="512" spans="2:3" hidden="1">
      <c r="B512" s="61">
        <v>6622</v>
      </c>
      <c r="C512" s="56" t="s">
        <v>143</v>
      </c>
    </row>
    <row r="513" spans="2:3" hidden="1">
      <c r="B513" s="61">
        <v>6621</v>
      </c>
      <c r="C513" s="56" t="s">
        <v>143</v>
      </c>
    </row>
    <row r="514" spans="2:3" hidden="1">
      <c r="B514" s="61">
        <v>6614</v>
      </c>
      <c r="C514" s="56" t="s">
        <v>143</v>
      </c>
    </row>
    <row r="515" spans="2:3" hidden="1">
      <c r="B515" s="61">
        <v>6613</v>
      </c>
      <c r="C515" s="56" t="s">
        <v>143</v>
      </c>
    </row>
    <row r="516" spans="2:3" hidden="1">
      <c r="B516" s="61">
        <v>6612</v>
      </c>
      <c r="C516" s="56" t="s">
        <v>143</v>
      </c>
    </row>
    <row r="517" spans="2:3" hidden="1">
      <c r="B517" s="61">
        <v>6611</v>
      </c>
      <c r="C517" s="56" t="s">
        <v>143</v>
      </c>
    </row>
    <row r="518" spans="2:3" hidden="1">
      <c r="B518" s="61">
        <v>5543</v>
      </c>
      <c r="C518" s="56" t="s">
        <v>143</v>
      </c>
    </row>
    <row r="519" spans="2:3" hidden="1">
      <c r="B519" s="61">
        <v>5542</v>
      </c>
      <c r="C519" s="56" t="s">
        <v>143</v>
      </c>
    </row>
    <row r="520" spans="2:3" hidden="1">
      <c r="B520" s="61">
        <v>5541</v>
      </c>
      <c r="C520" s="56" t="s">
        <v>143</v>
      </c>
    </row>
    <row r="521" spans="2:3" hidden="1">
      <c r="B521" s="61">
        <v>5534</v>
      </c>
      <c r="C521" s="56" t="s">
        <v>143</v>
      </c>
    </row>
    <row r="522" spans="2:3" hidden="1">
      <c r="B522" s="61">
        <v>5533</v>
      </c>
      <c r="C522" s="56" t="s">
        <v>143</v>
      </c>
    </row>
    <row r="523" spans="2:3" hidden="1">
      <c r="B523" s="61">
        <v>5532</v>
      </c>
      <c r="C523" s="56" t="s">
        <v>143</v>
      </c>
    </row>
    <row r="524" spans="2:3" hidden="1">
      <c r="B524" s="61">
        <v>5531</v>
      </c>
      <c r="C524" s="56" t="s">
        <v>143</v>
      </c>
    </row>
    <row r="525" spans="2:3" hidden="1">
      <c r="B525" s="61">
        <v>5524</v>
      </c>
      <c r="C525" s="56" t="s">
        <v>143</v>
      </c>
    </row>
    <row r="526" spans="2:3" hidden="1">
      <c r="B526" s="61">
        <v>5523</v>
      </c>
      <c r="C526" s="56" t="s">
        <v>143</v>
      </c>
    </row>
    <row r="527" spans="2:3" hidden="1">
      <c r="B527" s="61">
        <v>5522</v>
      </c>
      <c r="C527" s="56" t="s">
        <v>143</v>
      </c>
    </row>
    <row r="528" spans="2:3" hidden="1">
      <c r="B528" s="61">
        <v>5521</v>
      </c>
      <c r="C528" s="56" t="s">
        <v>143</v>
      </c>
    </row>
    <row r="529" spans="2:3" hidden="1">
      <c r="B529" s="61">
        <v>5514</v>
      </c>
      <c r="C529" s="56" t="s">
        <v>143</v>
      </c>
    </row>
    <row r="530" spans="2:3" hidden="1">
      <c r="B530" s="61">
        <v>5513</v>
      </c>
      <c r="C530" s="56" t="s">
        <v>143</v>
      </c>
    </row>
    <row r="531" spans="2:3" hidden="1">
      <c r="B531" s="61">
        <v>5512</v>
      </c>
      <c r="C531" s="56" t="s">
        <v>143</v>
      </c>
    </row>
    <row r="532" spans="2:3" hidden="1">
      <c r="B532" s="61">
        <v>5511</v>
      </c>
      <c r="C532" s="56" t="s">
        <v>143</v>
      </c>
    </row>
    <row r="533" spans="2:3" hidden="1">
      <c r="B533" s="61">
        <v>5774</v>
      </c>
      <c r="C533" s="56" t="s">
        <v>183</v>
      </c>
    </row>
    <row r="534" spans="2:3" hidden="1">
      <c r="B534" s="61">
        <v>5773</v>
      </c>
      <c r="C534" s="56" t="s">
        <v>183</v>
      </c>
    </row>
    <row r="535" spans="2:3" hidden="1">
      <c r="B535" s="61">
        <v>5772</v>
      </c>
      <c r="C535" s="56" t="s">
        <v>183</v>
      </c>
    </row>
    <row r="536" spans="2:3" hidden="1">
      <c r="B536" s="61">
        <v>5771</v>
      </c>
      <c r="C536" s="56" t="s">
        <v>183</v>
      </c>
    </row>
    <row r="537" spans="2:3" hidden="1">
      <c r="B537" s="61">
        <v>5764</v>
      </c>
      <c r="C537" s="56" t="s">
        <v>183</v>
      </c>
    </row>
    <row r="538" spans="2:3" hidden="1">
      <c r="B538" s="61">
        <v>5763</v>
      </c>
      <c r="C538" s="56" t="s">
        <v>183</v>
      </c>
    </row>
    <row r="539" spans="2:3" hidden="1">
      <c r="B539" s="61">
        <v>5762</v>
      </c>
      <c r="C539" s="56" t="s">
        <v>183</v>
      </c>
    </row>
    <row r="540" spans="2:3" hidden="1">
      <c r="B540" s="61">
        <v>5761</v>
      </c>
      <c r="C540" s="56" t="s">
        <v>183</v>
      </c>
    </row>
    <row r="541" spans="2:3" hidden="1">
      <c r="B541" s="61">
        <v>5664</v>
      </c>
      <c r="C541" s="56" t="s">
        <v>183</v>
      </c>
    </row>
    <row r="542" spans="2:3" hidden="1">
      <c r="B542" s="61">
        <v>5663</v>
      </c>
      <c r="C542" s="56" t="s">
        <v>183</v>
      </c>
    </row>
    <row r="543" spans="2:3" hidden="1">
      <c r="B543" s="61">
        <v>5662</v>
      </c>
      <c r="C543" s="56" t="s">
        <v>183</v>
      </c>
    </row>
    <row r="544" spans="2:3" hidden="1">
      <c r="B544" s="61">
        <v>5661</v>
      </c>
      <c r="C544" s="56" t="s">
        <v>183</v>
      </c>
    </row>
    <row r="545" spans="2:3" hidden="1">
      <c r="B545" s="61">
        <v>5553</v>
      </c>
      <c r="C545" s="56" t="s">
        <v>183</v>
      </c>
    </row>
    <row r="546" spans="2:3" hidden="1">
      <c r="B546" s="61">
        <v>5552</v>
      </c>
      <c r="C546" s="56" t="s">
        <v>183</v>
      </c>
    </row>
    <row r="547" spans="2:3" hidden="1">
      <c r="B547" s="61">
        <v>5551</v>
      </c>
      <c r="C547" s="56" t="s">
        <v>183</v>
      </c>
    </row>
    <row r="548" spans="2:3" hidden="1">
      <c r="B548" s="61">
        <v>4774</v>
      </c>
      <c r="C548" s="56" t="s">
        <v>183</v>
      </c>
    </row>
    <row r="549" spans="2:3" hidden="1">
      <c r="B549" s="61">
        <v>4773</v>
      </c>
      <c r="C549" s="56" t="s">
        <v>183</v>
      </c>
    </row>
    <row r="550" spans="2:3" hidden="1">
      <c r="B550" s="61">
        <v>4772</v>
      </c>
      <c r="C550" s="56" t="s">
        <v>183</v>
      </c>
    </row>
    <row r="551" spans="2:3" hidden="1">
      <c r="B551" s="61">
        <v>4771</v>
      </c>
      <c r="C551" s="56" t="s">
        <v>183</v>
      </c>
    </row>
    <row r="552" spans="2:3" hidden="1">
      <c r="B552" s="61">
        <v>4764</v>
      </c>
      <c r="C552" s="56" t="s">
        <v>183</v>
      </c>
    </row>
    <row r="553" spans="2:3" hidden="1">
      <c r="B553" s="61">
        <v>4763</v>
      </c>
      <c r="C553" s="56" t="s">
        <v>183</v>
      </c>
    </row>
    <row r="554" spans="2:3" hidden="1">
      <c r="B554" s="61">
        <v>4762</v>
      </c>
      <c r="C554" s="56" t="s">
        <v>183</v>
      </c>
    </row>
    <row r="555" spans="2:3" hidden="1">
      <c r="B555" s="61">
        <v>4761</v>
      </c>
      <c r="C555" s="56" t="s">
        <v>183</v>
      </c>
    </row>
    <row r="556" spans="2:3" hidden="1">
      <c r="B556" s="61">
        <v>4754</v>
      </c>
      <c r="C556" s="56" t="s">
        <v>183</v>
      </c>
    </row>
    <row r="557" spans="2:3" hidden="1">
      <c r="B557" s="61">
        <v>4753</v>
      </c>
      <c r="C557" s="56" t="s">
        <v>183</v>
      </c>
    </row>
    <row r="558" spans="2:3" hidden="1">
      <c r="B558" s="61">
        <v>4752</v>
      </c>
      <c r="C558" s="56" t="s">
        <v>183</v>
      </c>
    </row>
    <row r="559" spans="2:3" hidden="1">
      <c r="B559" s="61">
        <v>4751</v>
      </c>
      <c r="C559" s="56" t="s">
        <v>183</v>
      </c>
    </row>
    <row r="560" spans="2:3" hidden="1">
      <c r="B560" s="61">
        <v>4664</v>
      </c>
      <c r="C560" s="56" t="s">
        <v>183</v>
      </c>
    </row>
    <row r="561" spans="2:3" hidden="1">
      <c r="B561" s="61">
        <v>4663</v>
      </c>
      <c r="C561" s="56" t="s">
        <v>183</v>
      </c>
    </row>
    <row r="562" spans="2:3" hidden="1">
      <c r="B562" s="61">
        <v>4662</v>
      </c>
      <c r="C562" s="56" t="s">
        <v>183</v>
      </c>
    </row>
    <row r="563" spans="2:3" hidden="1">
      <c r="B563" s="61">
        <v>4661</v>
      </c>
      <c r="C563" s="56" t="s">
        <v>183</v>
      </c>
    </row>
    <row r="564" spans="2:3" hidden="1">
      <c r="B564" s="61">
        <v>4654</v>
      </c>
      <c r="C564" s="56" t="s">
        <v>183</v>
      </c>
    </row>
    <row r="565" spans="2:3" hidden="1">
      <c r="B565" s="61">
        <v>4653</v>
      </c>
      <c r="C565" s="56" t="s">
        <v>183</v>
      </c>
    </row>
    <row r="566" spans="2:3" hidden="1">
      <c r="B566" s="61">
        <v>4652</v>
      </c>
      <c r="C566" s="56" t="s">
        <v>183</v>
      </c>
    </row>
    <row r="567" spans="2:3" hidden="1">
      <c r="B567" s="61">
        <v>4651</v>
      </c>
      <c r="C567" s="56" t="s">
        <v>183</v>
      </c>
    </row>
    <row r="568" spans="2:3" hidden="1">
      <c r="B568" s="61">
        <v>4554</v>
      </c>
      <c r="C568" s="56" t="s">
        <v>183</v>
      </c>
    </row>
    <row r="569" spans="2:3" hidden="1">
      <c r="B569" s="61">
        <v>4553</v>
      </c>
      <c r="C569" s="56" t="s">
        <v>183</v>
      </c>
    </row>
    <row r="570" spans="2:3" hidden="1">
      <c r="B570" s="61">
        <v>4552</v>
      </c>
      <c r="C570" s="56" t="s">
        <v>183</v>
      </c>
    </row>
    <row r="571" spans="2:3" hidden="1">
      <c r="B571" s="61">
        <v>4551</v>
      </c>
      <c r="C571" s="56" t="s">
        <v>183</v>
      </c>
    </row>
    <row r="572" spans="2:3" hidden="1">
      <c r="B572" s="61">
        <v>4543</v>
      </c>
      <c r="C572" s="56" t="s">
        <v>183</v>
      </c>
    </row>
    <row r="573" spans="2:3" hidden="1">
      <c r="B573" s="61">
        <v>4542</v>
      </c>
      <c r="C573" s="56" t="s">
        <v>183</v>
      </c>
    </row>
    <row r="574" spans="2:3" hidden="1">
      <c r="B574" s="61">
        <v>4541</v>
      </c>
      <c r="C574" s="56" t="s">
        <v>183</v>
      </c>
    </row>
    <row r="575" spans="2:3" hidden="1">
      <c r="B575" s="61">
        <v>3774</v>
      </c>
      <c r="C575" s="56" t="s">
        <v>183</v>
      </c>
    </row>
    <row r="576" spans="2:3" hidden="1">
      <c r="B576" s="61">
        <v>3773</v>
      </c>
      <c r="C576" s="56" t="s">
        <v>183</v>
      </c>
    </row>
    <row r="577" spans="2:3" hidden="1">
      <c r="B577" s="61">
        <v>3772</v>
      </c>
      <c r="C577" s="56" t="s">
        <v>183</v>
      </c>
    </row>
    <row r="578" spans="2:3" hidden="1">
      <c r="B578" s="61">
        <v>3771</v>
      </c>
      <c r="C578" s="56" t="s">
        <v>183</v>
      </c>
    </row>
    <row r="579" spans="2:3" hidden="1">
      <c r="B579" s="61">
        <v>3764</v>
      </c>
      <c r="C579" s="56" t="s">
        <v>183</v>
      </c>
    </row>
    <row r="580" spans="2:3" hidden="1">
      <c r="B580" s="61">
        <v>3763</v>
      </c>
      <c r="C580" s="56" t="s">
        <v>183</v>
      </c>
    </row>
    <row r="581" spans="2:3" hidden="1">
      <c r="B581" s="61">
        <v>3762</v>
      </c>
      <c r="C581" s="56" t="s">
        <v>183</v>
      </c>
    </row>
    <row r="582" spans="2:3" hidden="1">
      <c r="B582" s="61">
        <v>3761</v>
      </c>
      <c r="C582" s="56" t="s">
        <v>183</v>
      </c>
    </row>
    <row r="583" spans="2:3" hidden="1">
      <c r="B583" s="61">
        <v>3754</v>
      </c>
      <c r="C583" s="56" t="s">
        <v>183</v>
      </c>
    </row>
    <row r="584" spans="2:3" hidden="1">
      <c r="B584" s="61">
        <v>3753</v>
      </c>
      <c r="C584" s="56" t="s">
        <v>183</v>
      </c>
    </row>
    <row r="585" spans="2:3" hidden="1">
      <c r="B585" s="61">
        <v>3752</v>
      </c>
      <c r="C585" s="56" t="s">
        <v>183</v>
      </c>
    </row>
    <row r="586" spans="2:3" hidden="1">
      <c r="B586" s="61">
        <v>3751</v>
      </c>
      <c r="C586" s="56" t="s">
        <v>183</v>
      </c>
    </row>
    <row r="587" spans="2:3" hidden="1">
      <c r="B587" s="61">
        <v>3664</v>
      </c>
      <c r="C587" s="56" t="s">
        <v>183</v>
      </c>
    </row>
    <row r="588" spans="2:3" hidden="1">
      <c r="B588" s="61">
        <v>3663</v>
      </c>
      <c r="C588" s="56" t="s">
        <v>183</v>
      </c>
    </row>
    <row r="589" spans="2:3" hidden="1">
      <c r="B589" s="61">
        <v>3662</v>
      </c>
      <c r="C589" s="56" t="s">
        <v>183</v>
      </c>
    </row>
    <row r="590" spans="2:3" hidden="1">
      <c r="B590" s="61">
        <v>3661</v>
      </c>
      <c r="C590" s="56" t="s">
        <v>183</v>
      </c>
    </row>
    <row r="591" spans="2:3" hidden="1">
      <c r="B591" s="61">
        <v>3654</v>
      </c>
      <c r="C591" s="56" t="s">
        <v>183</v>
      </c>
    </row>
    <row r="592" spans="2:3" hidden="1">
      <c r="B592" s="61">
        <v>3653</v>
      </c>
      <c r="C592" s="56" t="s">
        <v>183</v>
      </c>
    </row>
    <row r="593" spans="2:3" hidden="1">
      <c r="B593" s="61">
        <v>3652</v>
      </c>
      <c r="C593" s="56" t="s">
        <v>183</v>
      </c>
    </row>
    <row r="594" spans="2:3" hidden="1">
      <c r="B594" s="61">
        <v>3651</v>
      </c>
      <c r="C594" s="56" t="s">
        <v>183</v>
      </c>
    </row>
    <row r="595" spans="2:3" hidden="1">
      <c r="B595" s="61">
        <v>3554</v>
      </c>
      <c r="C595" s="56" t="s">
        <v>183</v>
      </c>
    </row>
    <row r="596" spans="2:3" hidden="1">
      <c r="B596" s="61">
        <v>3553</v>
      </c>
      <c r="C596" s="56" t="s">
        <v>183</v>
      </c>
    </row>
    <row r="597" spans="2:3" hidden="1">
      <c r="B597" s="61">
        <v>3552</v>
      </c>
      <c r="C597" s="56" t="s">
        <v>183</v>
      </c>
    </row>
    <row r="598" spans="2:3" hidden="1">
      <c r="B598" s="61">
        <v>3551</v>
      </c>
      <c r="C598" s="56" t="s">
        <v>183</v>
      </c>
    </row>
    <row r="599" spans="2:3" hidden="1">
      <c r="B599" s="61">
        <v>2774</v>
      </c>
      <c r="C599" s="56" t="s">
        <v>183</v>
      </c>
    </row>
    <row r="600" spans="2:3" hidden="1">
      <c r="B600" s="61">
        <v>2773</v>
      </c>
      <c r="C600" s="56" t="s">
        <v>183</v>
      </c>
    </row>
    <row r="601" spans="2:3" hidden="1">
      <c r="B601" s="61">
        <v>2772</v>
      </c>
      <c r="C601" s="56" t="s">
        <v>183</v>
      </c>
    </row>
    <row r="602" spans="2:3" hidden="1">
      <c r="B602" s="61">
        <v>2771</v>
      </c>
      <c r="C602" s="56" t="s">
        <v>183</v>
      </c>
    </row>
    <row r="603" spans="2:3" hidden="1">
      <c r="B603" s="61">
        <v>2764</v>
      </c>
      <c r="C603" s="56" t="s">
        <v>183</v>
      </c>
    </row>
    <row r="604" spans="2:3" hidden="1">
      <c r="B604" s="61">
        <v>2763</v>
      </c>
      <c r="C604" s="56" t="s">
        <v>183</v>
      </c>
    </row>
    <row r="605" spans="2:3" hidden="1">
      <c r="B605" s="61">
        <v>2762</v>
      </c>
      <c r="C605" s="56" t="s">
        <v>183</v>
      </c>
    </row>
    <row r="606" spans="2:3" hidden="1">
      <c r="B606" s="61">
        <v>2761</v>
      </c>
      <c r="C606" s="56" t="s">
        <v>183</v>
      </c>
    </row>
    <row r="607" spans="2:3" hidden="1">
      <c r="B607" s="61">
        <v>2754</v>
      </c>
      <c r="C607" s="56" t="s">
        <v>183</v>
      </c>
    </row>
    <row r="608" spans="2:3" hidden="1">
      <c r="B608" s="61">
        <v>2753</v>
      </c>
      <c r="C608" s="56" t="s">
        <v>183</v>
      </c>
    </row>
    <row r="609" spans="2:3" hidden="1">
      <c r="B609" s="61">
        <v>2752</v>
      </c>
      <c r="C609" s="56" t="s">
        <v>183</v>
      </c>
    </row>
    <row r="610" spans="2:3" hidden="1">
      <c r="B610" s="61">
        <v>2751</v>
      </c>
      <c r="C610" s="56" t="s">
        <v>183</v>
      </c>
    </row>
    <row r="611" spans="2:3" hidden="1">
      <c r="B611" s="61">
        <v>2664</v>
      </c>
      <c r="C611" s="56" t="s">
        <v>183</v>
      </c>
    </row>
    <row r="612" spans="2:3" hidden="1">
      <c r="B612" s="61">
        <v>2663</v>
      </c>
      <c r="C612" s="56" t="s">
        <v>183</v>
      </c>
    </row>
    <row r="613" spans="2:3" hidden="1">
      <c r="B613" s="61">
        <v>2662</v>
      </c>
      <c r="C613" s="56" t="s">
        <v>183</v>
      </c>
    </row>
    <row r="614" spans="2:3" hidden="1">
      <c r="B614" s="61">
        <v>2661</v>
      </c>
      <c r="C614" s="56" t="s">
        <v>183</v>
      </c>
    </row>
    <row r="615" spans="2:3" hidden="1">
      <c r="B615" s="61">
        <v>2654</v>
      </c>
      <c r="C615" s="56" t="s">
        <v>183</v>
      </c>
    </row>
    <row r="616" spans="2:3" hidden="1">
      <c r="B616" s="61">
        <v>2653</v>
      </c>
      <c r="C616" s="56" t="s">
        <v>183</v>
      </c>
    </row>
    <row r="617" spans="2:3" hidden="1">
      <c r="B617" s="61">
        <v>2652</v>
      </c>
      <c r="C617" s="56" t="s">
        <v>183</v>
      </c>
    </row>
    <row r="618" spans="2:3" hidden="1">
      <c r="B618" s="61">
        <v>2651</v>
      </c>
      <c r="C618" s="56" t="s">
        <v>183</v>
      </c>
    </row>
    <row r="619" spans="2:3" hidden="1">
      <c r="B619" s="61">
        <v>2554</v>
      </c>
      <c r="C619" s="56" t="s">
        <v>183</v>
      </c>
    </row>
    <row r="620" spans="2:3" hidden="1">
      <c r="B620" s="61">
        <v>2553</v>
      </c>
      <c r="C620" s="56" t="s">
        <v>183</v>
      </c>
    </row>
    <row r="621" spans="2:3" hidden="1">
      <c r="B621" s="61">
        <v>2552</v>
      </c>
      <c r="C621" s="56" t="s">
        <v>183</v>
      </c>
    </row>
    <row r="622" spans="2:3" hidden="1">
      <c r="B622" s="61">
        <v>2551</v>
      </c>
      <c r="C622" s="56" t="s">
        <v>183</v>
      </c>
    </row>
    <row r="623" spans="2:3" hidden="1">
      <c r="B623" s="61">
        <v>1774</v>
      </c>
      <c r="C623" s="56" t="s">
        <v>183</v>
      </c>
    </row>
    <row r="624" spans="2:3" hidden="1">
      <c r="B624" s="61">
        <v>1773</v>
      </c>
      <c r="C624" s="56" t="s">
        <v>183</v>
      </c>
    </row>
    <row r="625" spans="2:3" hidden="1">
      <c r="B625" s="61">
        <v>1772</v>
      </c>
      <c r="C625" s="56" t="s">
        <v>183</v>
      </c>
    </row>
    <row r="626" spans="2:3" hidden="1">
      <c r="B626" s="61">
        <v>1771</v>
      </c>
      <c r="C626" s="56" t="s">
        <v>183</v>
      </c>
    </row>
    <row r="627" spans="2:3" hidden="1">
      <c r="B627" s="61">
        <v>1764</v>
      </c>
      <c r="C627" s="56" t="s">
        <v>183</v>
      </c>
    </row>
    <row r="628" spans="2:3" hidden="1">
      <c r="B628" s="61">
        <v>1763</v>
      </c>
      <c r="C628" s="56" t="s">
        <v>183</v>
      </c>
    </row>
    <row r="629" spans="2:3" hidden="1">
      <c r="B629" s="61">
        <v>1762</v>
      </c>
      <c r="C629" s="56" t="s">
        <v>183</v>
      </c>
    </row>
    <row r="630" spans="2:3" hidden="1">
      <c r="B630" s="61">
        <v>1761</v>
      </c>
      <c r="C630" s="56" t="s">
        <v>183</v>
      </c>
    </row>
    <row r="631" spans="2:3" hidden="1">
      <c r="B631" s="61">
        <v>1754</v>
      </c>
      <c r="C631" s="56" t="s">
        <v>183</v>
      </c>
    </row>
    <row r="632" spans="2:3" hidden="1">
      <c r="B632" s="61">
        <v>1753</v>
      </c>
      <c r="C632" s="56" t="s">
        <v>183</v>
      </c>
    </row>
    <row r="633" spans="2:3" hidden="1">
      <c r="B633" s="61">
        <v>1752</v>
      </c>
      <c r="C633" s="56" t="s">
        <v>183</v>
      </c>
    </row>
    <row r="634" spans="2:3" hidden="1">
      <c r="B634" s="61">
        <v>1751</v>
      </c>
      <c r="C634" s="56" t="s">
        <v>183</v>
      </c>
    </row>
    <row r="635" spans="2:3" hidden="1">
      <c r="B635" s="61">
        <v>1664</v>
      </c>
      <c r="C635" s="56" t="s">
        <v>183</v>
      </c>
    </row>
    <row r="636" spans="2:3" hidden="1">
      <c r="B636" s="61">
        <v>1663</v>
      </c>
      <c r="C636" s="56" t="s">
        <v>183</v>
      </c>
    </row>
    <row r="637" spans="2:3" hidden="1">
      <c r="B637" s="61">
        <v>1662</v>
      </c>
      <c r="C637" s="56" t="s">
        <v>183</v>
      </c>
    </row>
    <row r="638" spans="2:3" hidden="1">
      <c r="B638" s="61">
        <v>1661</v>
      </c>
      <c r="C638" s="56" t="s">
        <v>183</v>
      </c>
    </row>
    <row r="639" spans="2:3" hidden="1">
      <c r="B639" s="61">
        <v>1654</v>
      </c>
      <c r="C639" s="56" t="s">
        <v>183</v>
      </c>
    </row>
    <row r="640" spans="2:3" hidden="1">
      <c r="B640" s="61">
        <v>1653</v>
      </c>
      <c r="C640" s="56" t="s">
        <v>183</v>
      </c>
    </row>
    <row r="641" spans="2:3" hidden="1">
      <c r="B641" s="61">
        <v>1652</v>
      </c>
      <c r="C641" s="56" t="s">
        <v>183</v>
      </c>
    </row>
    <row r="642" spans="2:3" hidden="1">
      <c r="B642" s="61">
        <v>1651</v>
      </c>
      <c r="C642" s="56" t="s">
        <v>183</v>
      </c>
    </row>
    <row r="643" spans="2:3" hidden="1">
      <c r="B643" s="61">
        <v>1554</v>
      </c>
      <c r="C643" s="56" t="s">
        <v>183</v>
      </c>
    </row>
    <row r="644" spans="2:3" hidden="1">
      <c r="B644" s="61">
        <v>1553</v>
      </c>
      <c r="C644" s="56" t="s">
        <v>183</v>
      </c>
    </row>
    <row r="645" spans="2:3" hidden="1">
      <c r="B645" s="61">
        <v>1552</v>
      </c>
      <c r="C645" s="56" t="s">
        <v>183</v>
      </c>
    </row>
    <row r="646" spans="2:3" hidden="1">
      <c r="B646" s="61">
        <v>1551</v>
      </c>
      <c r="C646" s="56" t="s">
        <v>183</v>
      </c>
    </row>
    <row r="647" spans="2:3" hidden="1">
      <c r="B647" s="61">
        <v>7647</v>
      </c>
      <c r="C647" s="56" t="s">
        <v>184</v>
      </c>
    </row>
    <row r="648" spans="2:3" hidden="1">
      <c r="B648" s="61">
        <v>7646</v>
      </c>
      <c r="C648" s="56" t="s">
        <v>184</v>
      </c>
    </row>
    <row r="649" spans="2:3" hidden="1">
      <c r="B649" s="61">
        <v>7645</v>
      </c>
      <c r="C649" s="56" t="s">
        <v>184</v>
      </c>
    </row>
    <row r="650" spans="2:3" hidden="1">
      <c r="B650" s="61">
        <v>7637</v>
      </c>
      <c r="C650" s="56" t="s">
        <v>184</v>
      </c>
    </row>
    <row r="651" spans="2:3" hidden="1">
      <c r="B651" s="61">
        <v>7636</v>
      </c>
      <c r="C651" s="56" t="s">
        <v>184</v>
      </c>
    </row>
    <row r="652" spans="2:3" hidden="1">
      <c r="B652" s="61">
        <v>7635</v>
      </c>
      <c r="C652" s="56" t="s">
        <v>184</v>
      </c>
    </row>
    <row r="653" spans="2:3" hidden="1">
      <c r="B653" s="61">
        <v>7627</v>
      </c>
      <c r="C653" s="56" t="s">
        <v>184</v>
      </c>
    </row>
    <row r="654" spans="2:3" hidden="1">
      <c r="B654" s="61">
        <v>7626</v>
      </c>
      <c r="C654" s="56" t="s">
        <v>184</v>
      </c>
    </row>
    <row r="655" spans="2:3" hidden="1">
      <c r="B655" s="61">
        <v>7625</v>
      </c>
      <c r="C655" s="56" t="s">
        <v>184</v>
      </c>
    </row>
    <row r="656" spans="2:3" hidden="1">
      <c r="B656" s="61">
        <v>7617</v>
      </c>
      <c r="C656" s="56" t="s">
        <v>184</v>
      </c>
    </row>
    <row r="657" spans="2:3" hidden="1">
      <c r="B657" s="61">
        <v>7616</v>
      </c>
      <c r="C657" s="56" t="s">
        <v>184</v>
      </c>
    </row>
    <row r="658" spans="2:3" hidden="1">
      <c r="B658" s="61">
        <v>7615</v>
      </c>
      <c r="C658" s="56" t="s">
        <v>184</v>
      </c>
    </row>
    <row r="659" spans="2:3" hidden="1">
      <c r="B659" s="61">
        <v>7547</v>
      </c>
      <c r="C659" s="56" t="s">
        <v>184</v>
      </c>
    </row>
    <row r="660" spans="2:3" hidden="1">
      <c r="B660" s="61">
        <v>7546</v>
      </c>
      <c r="C660" s="56" t="s">
        <v>184</v>
      </c>
    </row>
    <row r="661" spans="2:3" hidden="1">
      <c r="B661" s="61">
        <v>7545</v>
      </c>
      <c r="C661" s="56" t="s">
        <v>184</v>
      </c>
    </row>
    <row r="662" spans="2:3" hidden="1">
      <c r="B662" s="61">
        <v>7537</v>
      </c>
      <c r="C662" s="56" t="s">
        <v>184</v>
      </c>
    </row>
    <row r="663" spans="2:3" hidden="1">
      <c r="B663" s="61">
        <v>7536</v>
      </c>
      <c r="C663" s="56" t="s">
        <v>184</v>
      </c>
    </row>
    <row r="664" spans="2:3" hidden="1">
      <c r="B664" s="61">
        <v>7535</v>
      </c>
      <c r="C664" s="56" t="s">
        <v>184</v>
      </c>
    </row>
    <row r="665" spans="2:3" hidden="1">
      <c r="B665" s="61">
        <v>7527</v>
      </c>
      <c r="C665" s="56" t="s">
        <v>184</v>
      </c>
    </row>
    <row r="666" spans="2:3" hidden="1">
      <c r="B666" s="61">
        <v>7526</v>
      </c>
      <c r="C666" s="56" t="s">
        <v>184</v>
      </c>
    </row>
    <row r="667" spans="2:3" hidden="1">
      <c r="B667" s="61">
        <v>7525</v>
      </c>
      <c r="C667" s="56" t="s">
        <v>184</v>
      </c>
    </row>
    <row r="668" spans="2:3" hidden="1">
      <c r="B668" s="61">
        <v>7517</v>
      </c>
      <c r="C668" s="56" t="s">
        <v>184</v>
      </c>
    </row>
    <row r="669" spans="2:3" hidden="1">
      <c r="B669" s="61">
        <v>7516</v>
      </c>
      <c r="C669" s="56" t="s">
        <v>184</v>
      </c>
    </row>
    <row r="670" spans="2:3" hidden="1">
      <c r="B670" s="61">
        <v>7515</v>
      </c>
      <c r="C670" s="56" t="s">
        <v>184</v>
      </c>
    </row>
    <row r="671" spans="2:3" hidden="1">
      <c r="B671" s="61">
        <v>7447</v>
      </c>
      <c r="C671" s="56" t="s">
        <v>184</v>
      </c>
    </row>
    <row r="672" spans="2:3" hidden="1">
      <c r="B672" s="61">
        <v>7446</v>
      </c>
      <c r="C672" s="56" t="s">
        <v>184</v>
      </c>
    </row>
    <row r="673" spans="2:3" hidden="1">
      <c r="B673" s="61">
        <v>7445</v>
      </c>
      <c r="C673" s="56" t="s">
        <v>184</v>
      </c>
    </row>
    <row r="674" spans="2:3" hidden="1">
      <c r="B674" s="61">
        <v>7437</v>
      </c>
      <c r="C674" s="56" t="s">
        <v>184</v>
      </c>
    </row>
    <row r="675" spans="2:3" hidden="1">
      <c r="B675" s="61">
        <v>7436</v>
      </c>
      <c r="C675" s="56" t="s">
        <v>184</v>
      </c>
    </row>
    <row r="676" spans="2:3" hidden="1">
      <c r="B676" s="61">
        <v>7435</v>
      </c>
      <c r="C676" s="56" t="s">
        <v>184</v>
      </c>
    </row>
    <row r="677" spans="2:3" hidden="1">
      <c r="B677" s="61">
        <v>7427</v>
      </c>
      <c r="C677" s="56" t="s">
        <v>184</v>
      </c>
    </row>
    <row r="678" spans="2:3" hidden="1">
      <c r="B678" s="61">
        <v>7426</v>
      </c>
      <c r="C678" s="56" t="s">
        <v>184</v>
      </c>
    </row>
    <row r="679" spans="2:3" hidden="1">
      <c r="B679" s="61">
        <v>7425</v>
      </c>
      <c r="C679" s="56" t="s">
        <v>184</v>
      </c>
    </row>
    <row r="680" spans="2:3" hidden="1">
      <c r="B680" s="61">
        <v>7417</v>
      </c>
      <c r="C680" s="56" t="s">
        <v>184</v>
      </c>
    </row>
    <row r="681" spans="2:3" hidden="1">
      <c r="B681" s="61">
        <v>7416</v>
      </c>
      <c r="C681" s="56" t="s">
        <v>184</v>
      </c>
    </row>
    <row r="682" spans="2:3" hidden="1">
      <c r="B682" s="61">
        <v>7415</v>
      </c>
      <c r="C682" s="56" t="s">
        <v>184</v>
      </c>
    </row>
    <row r="683" spans="2:3" hidden="1">
      <c r="B683" s="61">
        <v>7347</v>
      </c>
      <c r="C683" s="56" t="s">
        <v>184</v>
      </c>
    </row>
    <row r="684" spans="2:3" hidden="1">
      <c r="B684" s="61">
        <v>7346</v>
      </c>
      <c r="C684" s="56" t="s">
        <v>184</v>
      </c>
    </row>
    <row r="685" spans="2:3" hidden="1">
      <c r="B685" s="61">
        <v>7345</v>
      </c>
      <c r="C685" s="56" t="s">
        <v>184</v>
      </c>
    </row>
    <row r="686" spans="2:3" hidden="1">
      <c r="B686" s="61">
        <v>7337</v>
      </c>
      <c r="C686" s="56" t="s">
        <v>184</v>
      </c>
    </row>
    <row r="687" spans="2:3" hidden="1">
      <c r="B687" s="61">
        <v>7336</v>
      </c>
      <c r="C687" s="56" t="s">
        <v>184</v>
      </c>
    </row>
    <row r="688" spans="2:3" hidden="1">
      <c r="B688" s="61">
        <v>7335</v>
      </c>
      <c r="C688" s="56" t="s">
        <v>184</v>
      </c>
    </row>
    <row r="689" spans="2:3" hidden="1">
      <c r="B689" s="61">
        <v>7327</v>
      </c>
      <c r="C689" s="56" t="s">
        <v>184</v>
      </c>
    </row>
    <row r="690" spans="2:3" hidden="1">
      <c r="B690" s="61">
        <v>7326</v>
      </c>
      <c r="C690" s="56" t="s">
        <v>184</v>
      </c>
    </row>
    <row r="691" spans="2:3" hidden="1">
      <c r="B691" s="61">
        <v>7325</v>
      </c>
      <c r="C691" s="56" t="s">
        <v>184</v>
      </c>
    </row>
    <row r="692" spans="2:3" hidden="1">
      <c r="B692" s="61">
        <v>7317</v>
      </c>
      <c r="C692" s="56" t="s">
        <v>184</v>
      </c>
    </row>
    <row r="693" spans="2:3" hidden="1">
      <c r="B693" s="61">
        <v>7316</v>
      </c>
      <c r="C693" s="56" t="s">
        <v>184</v>
      </c>
    </row>
    <row r="694" spans="2:3" hidden="1">
      <c r="B694" s="61">
        <v>7315</v>
      </c>
      <c r="C694" s="56" t="s">
        <v>184</v>
      </c>
    </row>
    <row r="695" spans="2:3" hidden="1">
      <c r="B695" s="61">
        <v>7247</v>
      </c>
      <c r="C695" s="56" t="s">
        <v>184</v>
      </c>
    </row>
    <row r="696" spans="2:3" hidden="1">
      <c r="B696" s="61">
        <v>7246</v>
      </c>
      <c r="C696" s="56" t="s">
        <v>184</v>
      </c>
    </row>
    <row r="697" spans="2:3" hidden="1">
      <c r="B697" s="61">
        <v>7245</v>
      </c>
      <c r="C697" s="56" t="s">
        <v>184</v>
      </c>
    </row>
    <row r="698" spans="2:3" hidden="1">
      <c r="B698" s="61">
        <v>7237</v>
      </c>
      <c r="C698" s="56" t="s">
        <v>184</v>
      </c>
    </row>
    <row r="699" spans="2:3" hidden="1">
      <c r="B699" s="61">
        <v>7236</v>
      </c>
      <c r="C699" s="56" t="s">
        <v>184</v>
      </c>
    </row>
    <row r="700" spans="2:3" hidden="1">
      <c r="B700" s="61">
        <v>7235</v>
      </c>
      <c r="C700" s="56" t="s">
        <v>184</v>
      </c>
    </row>
    <row r="701" spans="2:3" hidden="1">
      <c r="B701" s="61">
        <v>7227</v>
      </c>
      <c r="C701" s="56" t="s">
        <v>184</v>
      </c>
    </row>
    <row r="702" spans="2:3" hidden="1">
      <c r="B702" s="61">
        <v>7226</v>
      </c>
      <c r="C702" s="56" t="s">
        <v>184</v>
      </c>
    </row>
    <row r="703" spans="2:3" hidden="1">
      <c r="B703" s="61">
        <v>7225</v>
      </c>
      <c r="C703" s="56" t="s">
        <v>184</v>
      </c>
    </row>
    <row r="704" spans="2:3" hidden="1">
      <c r="B704" s="61">
        <v>7217</v>
      </c>
      <c r="C704" s="56" t="s">
        <v>184</v>
      </c>
    </row>
    <row r="705" spans="2:3" hidden="1">
      <c r="B705" s="61">
        <v>7216</v>
      </c>
      <c r="C705" s="56" t="s">
        <v>184</v>
      </c>
    </row>
    <row r="706" spans="2:3" hidden="1">
      <c r="B706" s="61">
        <v>7215</v>
      </c>
      <c r="C706" s="56" t="s">
        <v>184</v>
      </c>
    </row>
    <row r="707" spans="2:3" hidden="1">
      <c r="B707" s="61">
        <v>7147</v>
      </c>
      <c r="C707" s="56" t="s">
        <v>184</v>
      </c>
    </row>
    <row r="708" spans="2:3" hidden="1">
      <c r="B708" s="61">
        <v>7146</v>
      </c>
      <c r="C708" s="56" t="s">
        <v>184</v>
      </c>
    </row>
    <row r="709" spans="2:3" hidden="1">
      <c r="B709" s="61">
        <v>7145</v>
      </c>
      <c r="C709" s="56" t="s">
        <v>184</v>
      </c>
    </row>
    <row r="710" spans="2:3" hidden="1">
      <c r="B710" s="61">
        <v>7137</v>
      </c>
      <c r="C710" s="56" t="s">
        <v>184</v>
      </c>
    </row>
    <row r="711" spans="2:3" hidden="1">
      <c r="B711" s="61">
        <v>7136</v>
      </c>
      <c r="C711" s="56" t="s">
        <v>184</v>
      </c>
    </row>
    <row r="712" spans="2:3" hidden="1">
      <c r="B712" s="61">
        <v>7135</v>
      </c>
      <c r="C712" s="56" t="s">
        <v>184</v>
      </c>
    </row>
    <row r="713" spans="2:3" hidden="1">
      <c r="B713" s="61">
        <v>7127</v>
      </c>
      <c r="C713" s="56" t="s">
        <v>184</v>
      </c>
    </row>
    <row r="714" spans="2:3" hidden="1">
      <c r="B714" s="61">
        <v>7126</v>
      </c>
      <c r="C714" s="56" t="s">
        <v>184</v>
      </c>
    </row>
    <row r="715" spans="2:3" hidden="1">
      <c r="B715" s="61">
        <v>7125</v>
      </c>
      <c r="C715" s="56" t="s">
        <v>184</v>
      </c>
    </row>
    <row r="716" spans="2:3" hidden="1">
      <c r="B716" s="61">
        <v>7117</v>
      </c>
      <c r="C716" s="56" t="s">
        <v>184</v>
      </c>
    </row>
    <row r="717" spans="2:3" hidden="1">
      <c r="B717" s="61">
        <v>7116</v>
      </c>
      <c r="C717" s="56" t="s">
        <v>184</v>
      </c>
    </row>
    <row r="718" spans="2:3" hidden="1">
      <c r="B718" s="61">
        <v>7115</v>
      </c>
      <c r="C718" s="56" t="s">
        <v>184</v>
      </c>
    </row>
    <row r="719" spans="2:3" hidden="1">
      <c r="B719" s="61">
        <v>6547</v>
      </c>
      <c r="C719" s="56" t="s">
        <v>184</v>
      </c>
    </row>
    <row r="720" spans="2:3" hidden="1">
      <c r="B720" s="61">
        <v>6546</v>
      </c>
      <c r="C720" s="56" t="s">
        <v>184</v>
      </c>
    </row>
    <row r="721" spans="2:3" hidden="1">
      <c r="B721" s="61">
        <v>6545</v>
      </c>
      <c r="C721" s="56" t="s">
        <v>184</v>
      </c>
    </row>
    <row r="722" spans="2:3" hidden="1">
      <c r="B722" s="61">
        <v>6537</v>
      </c>
      <c r="C722" s="56" t="s">
        <v>184</v>
      </c>
    </row>
    <row r="723" spans="2:3" hidden="1">
      <c r="B723" s="61">
        <v>6536</v>
      </c>
      <c r="C723" s="56" t="s">
        <v>184</v>
      </c>
    </row>
    <row r="724" spans="2:3" hidden="1">
      <c r="B724" s="61">
        <v>6535</v>
      </c>
      <c r="C724" s="56" t="s">
        <v>184</v>
      </c>
    </row>
    <row r="725" spans="2:3" hidden="1">
      <c r="B725" s="61">
        <v>6527</v>
      </c>
      <c r="C725" s="56" t="s">
        <v>184</v>
      </c>
    </row>
    <row r="726" spans="2:3" hidden="1">
      <c r="B726" s="61">
        <v>6526</v>
      </c>
      <c r="C726" s="56" t="s">
        <v>184</v>
      </c>
    </row>
    <row r="727" spans="2:3" hidden="1">
      <c r="B727" s="61">
        <v>6525</v>
      </c>
      <c r="C727" s="56" t="s">
        <v>184</v>
      </c>
    </row>
    <row r="728" spans="2:3" hidden="1">
      <c r="B728" s="61">
        <v>6517</v>
      </c>
      <c r="C728" s="56" t="s">
        <v>184</v>
      </c>
    </row>
    <row r="729" spans="2:3" hidden="1">
      <c r="B729" s="61">
        <v>6516</v>
      </c>
      <c r="C729" s="56" t="s">
        <v>184</v>
      </c>
    </row>
    <row r="730" spans="2:3" hidden="1">
      <c r="B730" s="61">
        <v>6515</v>
      </c>
      <c r="C730" s="56" t="s">
        <v>184</v>
      </c>
    </row>
    <row r="731" spans="2:3" hidden="1">
      <c r="B731" s="61">
        <v>6447</v>
      </c>
      <c r="C731" s="56" t="s">
        <v>184</v>
      </c>
    </row>
    <row r="732" spans="2:3" hidden="1">
      <c r="B732" s="61">
        <v>6446</v>
      </c>
      <c r="C732" s="56" t="s">
        <v>184</v>
      </c>
    </row>
    <row r="733" spans="2:3" hidden="1">
      <c r="B733" s="61">
        <v>6445</v>
      </c>
      <c r="C733" s="56" t="s">
        <v>184</v>
      </c>
    </row>
    <row r="734" spans="2:3" hidden="1">
      <c r="B734" s="61">
        <v>6437</v>
      </c>
      <c r="C734" s="56" t="s">
        <v>184</v>
      </c>
    </row>
    <row r="735" spans="2:3" hidden="1">
      <c r="B735" s="61">
        <v>6436</v>
      </c>
      <c r="C735" s="56" t="s">
        <v>184</v>
      </c>
    </row>
    <row r="736" spans="2:3" hidden="1">
      <c r="B736" s="61">
        <v>6435</v>
      </c>
      <c r="C736" s="56" t="s">
        <v>184</v>
      </c>
    </row>
    <row r="737" spans="2:3" hidden="1">
      <c r="B737" s="61">
        <v>6427</v>
      </c>
      <c r="C737" s="56" t="s">
        <v>184</v>
      </c>
    </row>
    <row r="738" spans="2:3" hidden="1">
      <c r="B738" s="61">
        <v>6426</v>
      </c>
      <c r="C738" s="56" t="s">
        <v>184</v>
      </c>
    </row>
    <row r="739" spans="2:3" hidden="1">
      <c r="B739" s="61">
        <v>6425</v>
      </c>
      <c r="C739" s="56" t="s">
        <v>184</v>
      </c>
    </row>
    <row r="740" spans="2:3" hidden="1">
      <c r="B740" s="61">
        <v>6417</v>
      </c>
      <c r="C740" s="56" t="s">
        <v>184</v>
      </c>
    </row>
    <row r="741" spans="2:3" hidden="1">
      <c r="B741" s="61">
        <v>6416</v>
      </c>
      <c r="C741" s="56" t="s">
        <v>184</v>
      </c>
    </row>
    <row r="742" spans="2:3" hidden="1">
      <c r="B742" s="61">
        <v>6415</v>
      </c>
      <c r="C742" s="56" t="s">
        <v>184</v>
      </c>
    </row>
    <row r="743" spans="2:3" hidden="1">
      <c r="B743" s="61">
        <v>6347</v>
      </c>
      <c r="C743" s="56" t="s">
        <v>184</v>
      </c>
    </row>
    <row r="744" spans="2:3" hidden="1">
      <c r="B744" s="61">
        <v>6346</v>
      </c>
      <c r="C744" s="56" t="s">
        <v>184</v>
      </c>
    </row>
    <row r="745" spans="2:3" hidden="1">
      <c r="B745" s="61">
        <v>6345</v>
      </c>
      <c r="C745" s="56" t="s">
        <v>184</v>
      </c>
    </row>
    <row r="746" spans="2:3" hidden="1">
      <c r="B746" s="61">
        <v>6337</v>
      </c>
      <c r="C746" s="56" t="s">
        <v>184</v>
      </c>
    </row>
    <row r="747" spans="2:3" hidden="1">
      <c r="B747" s="61">
        <v>6336</v>
      </c>
      <c r="C747" s="56" t="s">
        <v>184</v>
      </c>
    </row>
    <row r="748" spans="2:3" hidden="1">
      <c r="B748" s="61">
        <v>6335</v>
      </c>
      <c r="C748" s="56" t="s">
        <v>184</v>
      </c>
    </row>
    <row r="749" spans="2:3" hidden="1">
      <c r="B749" s="61">
        <v>6327</v>
      </c>
      <c r="C749" s="56" t="s">
        <v>184</v>
      </c>
    </row>
    <row r="750" spans="2:3" hidden="1">
      <c r="B750" s="61">
        <v>6326</v>
      </c>
      <c r="C750" s="56" t="s">
        <v>184</v>
      </c>
    </row>
    <row r="751" spans="2:3" hidden="1">
      <c r="B751" s="61">
        <v>6325</v>
      </c>
      <c r="C751" s="56" t="s">
        <v>184</v>
      </c>
    </row>
    <row r="752" spans="2:3" hidden="1">
      <c r="B752" s="61">
        <v>6317</v>
      </c>
      <c r="C752" s="56" t="s">
        <v>184</v>
      </c>
    </row>
    <row r="753" spans="2:3" hidden="1">
      <c r="B753" s="61">
        <v>6316</v>
      </c>
      <c r="C753" s="56" t="s">
        <v>184</v>
      </c>
    </row>
    <row r="754" spans="2:3" hidden="1">
      <c r="B754" s="61">
        <v>6315</v>
      </c>
      <c r="C754" s="56" t="s">
        <v>184</v>
      </c>
    </row>
    <row r="755" spans="2:3" hidden="1">
      <c r="B755" s="61">
        <v>6247</v>
      </c>
      <c r="C755" s="56" t="s">
        <v>184</v>
      </c>
    </row>
    <row r="756" spans="2:3" hidden="1">
      <c r="B756" s="61">
        <v>6246</v>
      </c>
      <c r="C756" s="56" t="s">
        <v>184</v>
      </c>
    </row>
    <row r="757" spans="2:3" hidden="1">
      <c r="B757" s="61">
        <v>6245</v>
      </c>
      <c r="C757" s="56" t="s">
        <v>184</v>
      </c>
    </row>
    <row r="758" spans="2:3" hidden="1">
      <c r="B758" s="61">
        <v>6237</v>
      </c>
      <c r="C758" s="56" t="s">
        <v>184</v>
      </c>
    </row>
    <row r="759" spans="2:3" hidden="1">
      <c r="B759" s="61">
        <v>6236</v>
      </c>
      <c r="C759" s="56" t="s">
        <v>184</v>
      </c>
    </row>
    <row r="760" spans="2:3" hidden="1">
      <c r="B760" s="61">
        <v>6235</v>
      </c>
      <c r="C760" s="56" t="s">
        <v>184</v>
      </c>
    </row>
    <row r="761" spans="2:3" hidden="1">
      <c r="B761" s="61">
        <v>6227</v>
      </c>
      <c r="C761" s="56" t="s">
        <v>184</v>
      </c>
    </row>
    <row r="762" spans="2:3" hidden="1">
      <c r="B762" s="61">
        <v>6226</v>
      </c>
      <c r="C762" s="56" t="s">
        <v>184</v>
      </c>
    </row>
    <row r="763" spans="2:3" hidden="1">
      <c r="B763" s="61">
        <v>6225</v>
      </c>
      <c r="C763" s="56" t="s">
        <v>184</v>
      </c>
    </row>
    <row r="764" spans="2:3" hidden="1">
      <c r="B764" s="61">
        <v>6217</v>
      </c>
      <c r="C764" s="56" t="s">
        <v>184</v>
      </c>
    </row>
    <row r="765" spans="2:3" hidden="1">
      <c r="B765" s="61">
        <v>6216</v>
      </c>
      <c r="C765" s="56" t="s">
        <v>184</v>
      </c>
    </row>
    <row r="766" spans="2:3" hidden="1">
      <c r="B766" s="61">
        <v>6215</v>
      </c>
      <c r="C766" s="56" t="s">
        <v>184</v>
      </c>
    </row>
    <row r="767" spans="2:3" hidden="1">
      <c r="B767" s="61">
        <v>6147</v>
      </c>
      <c r="C767" s="56" t="s">
        <v>184</v>
      </c>
    </row>
    <row r="768" spans="2:3" hidden="1">
      <c r="B768" s="61">
        <v>6146</v>
      </c>
      <c r="C768" s="56" t="s">
        <v>184</v>
      </c>
    </row>
    <row r="769" spans="2:3" hidden="1">
      <c r="B769" s="61">
        <v>6145</v>
      </c>
      <c r="C769" s="56" t="s">
        <v>184</v>
      </c>
    </row>
    <row r="770" spans="2:3" hidden="1">
      <c r="B770" s="61">
        <v>6137</v>
      </c>
      <c r="C770" s="56" t="s">
        <v>184</v>
      </c>
    </row>
    <row r="771" spans="2:3" hidden="1">
      <c r="B771" s="61">
        <v>6136</v>
      </c>
      <c r="C771" s="56" t="s">
        <v>184</v>
      </c>
    </row>
    <row r="772" spans="2:3" hidden="1">
      <c r="B772" s="61">
        <v>6135</v>
      </c>
      <c r="C772" s="56" t="s">
        <v>184</v>
      </c>
    </row>
    <row r="773" spans="2:3" hidden="1">
      <c r="B773" s="61">
        <v>6127</v>
      </c>
      <c r="C773" s="56" t="s">
        <v>184</v>
      </c>
    </row>
    <row r="774" spans="2:3" hidden="1">
      <c r="B774" s="61">
        <v>6126</v>
      </c>
      <c r="C774" s="56" t="s">
        <v>184</v>
      </c>
    </row>
    <row r="775" spans="2:3" hidden="1">
      <c r="B775" s="61">
        <v>6125</v>
      </c>
      <c r="C775" s="56" t="s">
        <v>184</v>
      </c>
    </row>
    <row r="776" spans="2:3" hidden="1">
      <c r="B776" s="61">
        <v>6117</v>
      </c>
      <c r="C776" s="56" t="s">
        <v>184</v>
      </c>
    </row>
    <row r="777" spans="2:3" hidden="1">
      <c r="B777" s="61">
        <v>6116</v>
      </c>
      <c r="C777" s="56" t="s">
        <v>184</v>
      </c>
    </row>
    <row r="778" spans="2:3" hidden="1">
      <c r="B778" s="61">
        <v>6115</v>
      </c>
      <c r="C778" s="56" t="s">
        <v>184</v>
      </c>
    </row>
    <row r="779" spans="2:3" hidden="1">
      <c r="B779" s="61">
        <v>5447</v>
      </c>
      <c r="C779" s="56" t="s">
        <v>184</v>
      </c>
    </row>
    <row r="780" spans="2:3" hidden="1">
      <c r="B780" s="61">
        <v>5446</v>
      </c>
      <c r="C780" s="56" t="s">
        <v>184</v>
      </c>
    </row>
    <row r="781" spans="2:3" hidden="1">
      <c r="B781" s="61">
        <v>5445</v>
      </c>
      <c r="C781" s="56" t="s">
        <v>184</v>
      </c>
    </row>
    <row r="782" spans="2:3" hidden="1">
      <c r="B782" s="61">
        <v>5437</v>
      </c>
      <c r="C782" s="56" t="s">
        <v>184</v>
      </c>
    </row>
    <row r="783" spans="2:3" hidden="1">
      <c r="B783" s="61">
        <v>5436</v>
      </c>
      <c r="C783" s="56" t="s">
        <v>184</v>
      </c>
    </row>
    <row r="784" spans="2:3" hidden="1">
      <c r="B784" s="61">
        <v>5435</v>
      </c>
      <c r="C784" s="56" t="s">
        <v>184</v>
      </c>
    </row>
    <row r="785" spans="2:3" hidden="1">
      <c r="B785" s="61">
        <v>5427</v>
      </c>
      <c r="C785" s="56" t="s">
        <v>184</v>
      </c>
    </row>
    <row r="786" spans="2:3" hidden="1">
      <c r="B786" s="61">
        <v>5426</v>
      </c>
      <c r="C786" s="56" t="s">
        <v>184</v>
      </c>
    </row>
    <row r="787" spans="2:3" hidden="1">
      <c r="B787" s="61">
        <v>5425</v>
      </c>
      <c r="C787" s="56" t="s">
        <v>184</v>
      </c>
    </row>
    <row r="788" spans="2:3" hidden="1">
      <c r="B788" s="61">
        <v>5417</v>
      </c>
      <c r="C788" s="56" t="s">
        <v>184</v>
      </c>
    </row>
    <row r="789" spans="2:3" hidden="1">
      <c r="B789" s="61">
        <v>5416</v>
      </c>
      <c r="C789" s="56" t="s">
        <v>184</v>
      </c>
    </row>
    <row r="790" spans="2:3" hidden="1">
      <c r="B790" s="61">
        <v>5415</v>
      </c>
      <c r="C790" s="56" t="s">
        <v>184</v>
      </c>
    </row>
    <row r="791" spans="2:3" hidden="1">
      <c r="B791" s="61">
        <v>5347</v>
      </c>
      <c r="C791" s="56" t="s">
        <v>184</v>
      </c>
    </row>
    <row r="792" spans="2:3" hidden="1">
      <c r="B792" s="61">
        <v>5346</v>
      </c>
      <c r="C792" s="56" t="s">
        <v>184</v>
      </c>
    </row>
    <row r="793" spans="2:3" hidden="1">
      <c r="B793" s="61">
        <v>5345</v>
      </c>
      <c r="C793" s="56" t="s">
        <v>184</v>
      </c>
    </row>
    <row r="794" spans="2:3" hidden="1">
      <c r="B794" s="61">
        <v>5337</v>
      </c>
      <c r="C794" s="56" t="s">
        <v>184</v>
      </c>
    </row>
    <row r="795" spans="2:3" hidden="1">
      <c r="B795" s="61">
        <v>5336</v>
      </c>
      <c r="C795" s="56" t="s">
        <v>184</v>
      </c>
    </row>
    <row r="796" spans="2:3" hidden="1">
      <c r="B796" s="61">
        <v>5335</v>
      </c>
      <c r="C796" s="56" t="s">
        <v>184</v>
      </c>
    </row>
    <row r="797" spans="2:3" hidden="1">
      <c r="B797" s="61">
        <v>5327</v>
      </c>
      <c r="C797" s="56" t="s">
        <v>184</v>
      </c>
    </row>
    <row r="798" spans="2:3" hidden="1">
      <c r="B798" s="61">
        <v>5326</v>
      </c>
      <c r="C798" s="56" t="s">
        <v>184</v>
      </c>
    </row>
    <row r="799" spans="2:3" hidden="1">
      <c r="B799" s="61">
        <v>5325</v>
      </c>
      <c r="C799" s="56" t="s">
        <v>184</v>
      </c>
    </row>
    <row r="800" spans="2:3" hidden="1">
      <c r="B800" s="61">
        <v>5317</v>
      </c>
      <c r="C800" s="56" t="s">
        <v>184</v>
      </c>
    </row>
    <row r="801" spans="2:3" hidden="1">
      <c r="B801" s="61">
        <v>5316</v>
      </c>
      <c r="C801" s="56" t="s">
        <v>184</v>
      </c>
    </row>
    <row r="802" spans="2:3" hidden="1">
      <c r="B802" s="61">
        <v>5315</v>
      </c>
      <c r="C802" s="56" t="s">
        <v>184</v>
      </c>
    </row>
    <row r="803" spans="2:3" hidden="1">
      <c r="B803" s="61">
        <v>5247</v>
      </c>
      <c r="C803" s="56" t="s">
        <v>184</v>
      </c>
    </row>
    <row r="804" spans="2:3" hidden="1">
      <c r="B804" s="61">
        <v>5246</v>
      </c>
      <c r="C804" s="56" t="s">
        <v>184</v>
      </c>
    </row>
    <row r="805" spans="2:3" hidden="1">
      <c r="B805" s="61">
        <v>5245</v>
      </c>
      <c r="C805" s="56" t="s">
        <v>184</v>
      </c>
    </row>
    <row r="806" spans="2:3" hidden="1">
      <c r="B806" s="61">
        <v>5237</v>
      </c>
      <c r="C806" s="56" t="s">
        <v>184</v>
      </c>
    </row>
    <row r="807" spans="2:3" hidden="1">
      <c r="B807" s="61">
        <v>5236</v>
      </c>
      <c r="C807" s="56" t="s">
        <v>184</v>
      </c>
    </row>
    <row r="808" spans="2:3" hidden="1">
      <c r="B808" s="61">
        <v>5235</v>
      </c>
      <c r="C808" s="56" t="s">
        <v>184</v>
      </c>
    </row>
    <row r="809" spans="2:3" hidden="1">
      <c r="B809" s="61">
        <v>5227</v>
      </c>
      <c r="C809" s="56" t="s">
        <v>184</v>
      </c>
    </row>
    <row r="810" spans="2:3" hidden="1">
      <c r="B810" s="61">
        <v>5226</v>
      </c>
      <c r="C810" s="56" t="s">
        <v>184</v>
      </c>
    </row>
    <row r="811" spans="2:3" hidden="1">
      <c r="B811" s="61">
        <v>5225</v>
      </c>
      <c r="C811" s="56" t="s">
        <v>184</v>
      </c>
    </row>
    <row r="812" spans="2:3" hidden="1">
      <c r="B812" s="61">
        <v>5217</v>
      </c>
      <c r="C812" s="56" t="s">
        <v>184</v>
      </c>
    </row>
    <row r="813" spans="2:3" hidden="1">
      <c r="B813" s="61">
        <v>5216</v>
      </c>
      <c r="C813" s="56" t="s">
        <v>184</v>
      </c>
    </row>
    <row r="814" spans="2:3" hidden="1">
      <c r="B814" s="61">
        <v>5215</v>
      </c>
      <c r="C814" s="56" t="s">
        <v>184</v>
      </c>
    </row>
    <row r="815" spans="2:3" hidden="1">
      <c r="B815" s="61">
        <v>5147</v>
      </c>
      <c r="C815" s="56" t="s">
        <v>184</v>
      </c>
    </row>
    <row r="816" spans="2:3" hidden="1">
      <c r="B816" s="61">
        <v>5146</v>
      </c>
      <c r="C816" s="56" t="s">
        <v>184</v>
      </c>
    </row>
    <row r="817" spans="2:3" hidden="1">
      <c r="B817" s="61">
        <v>5145</v>
      </c>
      <c r="C817" s="56" t="s">
        <v>184</v>
      </c>
    </row>
    <row r="818" spans="2:3" hidden="1">
      <c r="B818" s="61">
        <v>5137</v>
      </c>
      <c r="C818" s="56" t="s">
        <v>184</v>
      </c>
    </row>
    <row r="819" spans="2:3" hidden="1">
      <c r="B819" s="61">
        <v>5136</v>
      </c>
      <c r="C819" s="56" t="s">
        <v>184</v>
      </c>
    </row>
    <row r="820" spans="2:3" hidden="1">
      <c r="B820" s="61">
        <v>5135</v>
      </c>
      <c r="C820" s="56" t="s">
        <v>184</v>
      </c>
    </row>
    <row r="821" spans="2:3" hidden="1">
      <c r="B821" s="61">
        <v>5127</v>
      </c>
      <c r="C821" s="56" t="s">
        <v>184</v>
      </c>
    </row>
    <row r="822" spans="2:3" hidden="1">
      <c r="B822" s="61">
        <v>5126</v>
      </c>
      <c r="C822" s="56" t="s">
        <v>184</v>
      </c>
    </row>
    <row r="823" spans="2:3" hidden="1">
      <c r="B823" s="61">
        <v>5125</v>
      </c>
      <c r="C823" s="56" t="s">
        <v>184</v>
      </c>
    </row>
    <row r="824" spans="2:3" hidden="1">
      <c r="B824" s="61">
        <v>5117</v>
      </c>
      <c r="C824" s="56" t="s">
        <v>184</v>
      </c>
    </row>
    <row r="825" spans="2:3" hidden="1">
      <c r="B825" s="61">
        <v>5116</v>
      </c>
      <c r="C825" s="56" t="s">
        <v>184</v>
      </c>
    </row>
    <row r="826" spans="2:3" hidden="1">
      <c r="B826" s="61">
        <v>5115</v>
      </c>
      <c r="C826" s="56" t="s">
        <v>184</v>
      </c>
    </row>
    <row r="827" spans="2:3" hidden="1">
      <c r="B827" s="61">
        <v>4474</v>
      </c>
      <c r="C827" s="56" t="s">
        <v>185</v>
      </c>
    </row>
    <row r="828" spans="2:3" hidden="1">
      <c r="B828" s="61">
        <v>4473</v>
      </c>
      <c r="C828" s="56" t="s">
        <v>185</v>
      </c>
    </row>
    <row r="829" spans="2:3" hidden="1">
      <c r="B829" s="61">
        <v>4472</v>
      </c>
      <c r="C829" s="56" t="s">
        <v>185</v>
      </c>
    </row>
    <row r="830" spans="2:3" hidden="1">
      <c r="B830" s="61">
        <v>4471</v>
      </c>
      <c r="C830" s="56" t="s">
        <v>185</v>
      </c>
    </row>
    <row r="831" spans="2:3" hidden="1">
      <c r="B831" s="61">
        <v>4464</v>
      </c>
      <c r="C831" s="56" t="s">
        <v>185</v>
      </c>
    </row>
    <row r="832" spans="2:3" hidden="1">
      <c r="B832" s="61">
        <v>4463</v>
      </c>
      <c r="C832" s="56" t="s">
        <v>185</v>
      </c>
    </row>
    <row r="833" spans="2:3" hidden="1">
      <c r="B833" s="61">
        <v>4462</v>
      </c>
      <c r="C833" s="56" t="s">
        <v>185</v>
      </c>
    </row>
    <row r="834" spans="2:3" hidden="1">
      <c r="B834" s="61">
        <v>4461</v>
      </c>
      <c r="C834" s="56" t="s">
        <v>185</v>
      </c>
    </row>
    <row r="835" spans="2:3" hidden="1">
      <c r="B835" s="61">
        <v>4453</v>
      </c>
      <c r="C835" s="56" t="s">
        <v>185</v>
      </c>
    </row>
    <row r="836" spans="2:3" hidden="1">
      <c r="B836" s="61">
        <v>4452</v>
      </c>
      <c r="C836" s="56" t="s">
        <v>185</v>
      </c>
    </row>
    <row r="837" spans="2:3" hidden="1">
      <c r="B837" s="61">
        <v>4451</v>
      </c>
      <c r="C837" s="56" t="s">
        <v>185</v>
      </c>
    </row>
    <row r="838" spans="2:3" hidden="1">
      <c r="B838" s="61">
        <v>4374</v>
      </c>
      <c r="C838" s="56" t="s">
        <v>185</v>
      </c>
    </row>
    <row r="839" spans="2:3" hidden="1">
      <c r="B839" s="61">
        <v>4373</v>
      </c>
      <c r="C839" s="56" t="s">
        <v>185</v>
      </c>
    </row>
    <row r="840" spans="2:3" hidden="1">
      <c r="B840" s="61">
        <v>4372</v>
      </c>
      <c r="C840" s="56" t="s">
        <v>185</v>
      </c>
    </row>
    <row r="841" spans="2:3" hidden="1">
      <c r="B841" s="61">
        <v>4371</v>
      </c>
      <c r="C841" s="56" t="s">
        <v>185</v>
      </c>
    </row>
    <row r="842" spans="2:3" hidden="1">
      <c r="B842" s="61">
        <v>4364</v>
      </c>
      <c r="C842" s="56" t="s">
        <v>185</v>
      </c>
    </row>
    <row r="843" spans="2:3" hidden="1">
      <c r="B843" s="61">
        <v>4363</v>
      </c>
      <c r="C843" s="56" t="s">
        <v>185</v>
      </c>
    </row>
    <row r="844" spans="2:3" hidden="1">
      <c r="B844" s="61">
        <v>4362</v>
      </c>
      <c r="C844" s="56" t="s">
        <v>185</v>
      </c>
    </row>
    <row r="845" spans="2:3" hidden="1">
      <c r="B845" s="61">
        <v>4361</v>
      </c>
      <c r="C845" s="56" t="s">
        <v>185</v>
      </c>
    </row>
    <row r="846" spans="2:3" hidden="1">
      <c r="B846" s="61">
        <v>4354</v>
      </c>
      <c r="C846" s="56" t="s">
        <v>185</v>
      </c>
    </row>
    <row r="847" spans="2:3" hidden="1">
      <c r="B847" s="61">
        <v>4353</v>
      </c>
      <c r="C847" s="56" t="s">
        <v>185</v>
      </c>
    </row>
    <row r="848" spans="2:3" hidden="1">
      <c r="B848" s="61">
        <v>4352</v>
      </c>
      <c r="C848" s="56" t="s">
        <v>185</v>
      </c>
    </row>
    <row r="849" spans="2:3" hidden="1">
      <c r="B849" s="61">
        <v>4351</v>
      </c>
      <c r="C849" s="56" t="s">
        <v>185</v>
      </c>
    </row>
    <row r="850" spans="2:3" hidden="1">
      <c r="B850" s="61">
        <v>4274</v>
      </c>
      <c r="C850" s="56" t="s">
        <v>185</v>
      </c>
    </row>
    <row r="851" spans="2:3" hidden="1">
      <c r="B851" s="61">
        <v>4273</v>
      </c>
      <c r="C851" s="56" t="s">
        <v>185</v>
      </c>
    </row>
    <row r="852" spans="2:3" hidden="1">
      <c r="B852" s="61">
        <v>4272</v>
      </c>
      <c r="C852" s="56" t="s">
        <v>185</v>
      </c>
    </row>
    <row r="853" spans="2:3" hidden="1">
      <c r="B853" s="61">
        <v>4271</v>
      </c>
      <c r="C853" s="56" t="s">
        <v>185</v>
      </c>
    </row>
    <row r="854" spans="2:3" hidden="1">
      <c r="B854" s="61">
        <v>4264</v>
      </c>
      <c r="C854" s="56" t="s">
        <v>185</v>
      </c>
    </row>
    <row r="855" spans="2:3" hidden="1">
      <c r="B855" s="61">
        <v>4263</v>
      </c>
      <c r="C855" s="56" t="s">
        <v>185</v>
      </c>
    </row>
    <row r="856" spans="2:3" hidden="1">
      <c r="B856" s="61">
        <v>4262</v>
      </c>
      <c r="C856" s="56" t="s">
        <v>185</v>
      </c>
    </row>
    <row r="857" spans="2:3" hidden="1">
      <c r="B857" s="61">
        <v>4261</v>
      </c>
      <c r="C857" s="56" t="s">
        <v>185</v>
      </c>
    </row>
    <row r="858" spans="2:3" hidden="1">
      <c r="B858" s="61">
        <v>4254</v>
      </c>
      <c r="C858" s="56" t="s">
        <v>185</v>
      </c>
    </row>
    <row r="859" spans="2:3" hidden="1">
      <c r="B859" s="61">
        <v>4253</v>
      </c>
      <c r="C859" s="56" t="s">
        <v>185</v>
      </c>
    </row>
    <row r="860" spans="2:3" hidden="1">
      <c r="B860" s="61">
        <v>4252</v>
      </c>
      <c r="C860" s="56" t="s">
        <v>185</v>
      </c>
    </row>
    <row r="861" spans="2:3" hidden="1">
      <c r="B861" s="61">
        <v>4251</v>
      </c>
      <c r="C861" s="56" t="s">
        <v>185</v>
      </c>
    </row>
    <row r="862" spans="2:3" hidden="1">
      <c r="B862" s="61">
        <v>4174</v>
      </c>
      <c r="C862" s="56" t="s">
        <v>185</v>
      </c>
    </row>
    <row r="863" spans="2:3" hidden="1">
      <c r="B863" s="61">
        <v>4173</v>
      </c>
      <c r="C863" s="56" t="s">
        <v>185</v>
      </c>
    </row>
    <row r="864" spans="2:3" hidden="1">
      <c r="B864" s="61">
        <v>4172</v>
      </c>
      <c r="C864" s="56" t="s">
        <v>185</v>
      </c>
    </row>
    <row r="865" spans="2:3" hidden="1">
      <c r="B865" s="61">
        <v>4171</v>
      </c>
      <c r="C865" s="56" t="s">
        <v>185</v>
      </c>
    </row>
    <row r="866" spans="2:3" hidden="1">
      <c r="B866" s="61">
        <v>4164</v>
      </c>
      <c r="C866" s="56" t="s">
        <v>185</v>
      </c>
    </row>
    <row r="867" spans="2:3" hidden="1">
      <c r="B867" s="61">
        <v>4163</v>
      </c>
      <c r="C867" s="56" t="s">
        <v>185</v>
      </c>
    </row>
    <row r="868" spans="2:3" hidden="1">
      <c r="B868" s="61">
        <v>4162</v>
      </c>
      <c r="C868" s="56" t="s">
        <v>185</v>
      </c>
    </row>
    <row r="869" spans="2:3" hidden="1">
      <c r="B869" s="61">
        <v>4161</v>
      </c>
      <c r="C869" s="56" t="s">
        <v>185</v>
      </c>
    </row>
    <row r="870" spans="2:3" hidden="1">
      <c r="B870" s="61">
        <v>4154</v>
      </c>
      <c r="C870" s="56" t="s">
        <v>185</v>
      </c>
    </row>
    <row r="871" spans="2:3" hidden="1">
      <c r="B871" s="61">
        <v>4153</v>
      </c>
      <c r="C871" s="56" t="s">
        <v>185</v>
      </c>
    </row>
    <row r="872" spans="2:3" hidden="1">
      <c r="B872" s="61">
        <v>4152</v>
      </c>
      <c r="C872" s="56" t="s">
        <v>185</v>
      </c>
    </row>
    <row r="873" spans="2:3" hidden="1">
      <c r="B873" s="61">
        <v>4151</v>
      </c>
      <c r="C873" s="56" t="s">
        <v>185</v>
      </c>
    </row>
    <row r="874" spans="2:3" hidden="1">
      <c r="B874" s="61">
        <v>3474</v>
      </c>
      <c r="C874" s="56" t="s">
        <v>185</v>
      </c>
    </row>
    <row r="875" spans="2:3" hidden="1">
      <c r="B875" s="61">
        <v>3473</v>
      </c>
      <c r="C875" s="56" t="s">
        <v>185</v>
      </c>
    </row>
    <row r="876" spans="2:3" hidden="1">
      <c r="B876" s="61">
        <v>3472</v>
      </c>
      <c r="C876" s="56" t="s">
        <v>185</v>
      </c>
    </row>
    <row r="877" spans="2:3" hidden="1">
      <c r="B877" s="61">
        <v>3471</v>
      </c>
      <c r="C877" s="56" t="s">
        <v>185</v>
      </c>
    </row>
    <row r="878" spans="2:3" hidden="1">
      <c r="B878" s="61">
        <v>3464</v>
      </c>
      <c r="C878" s="56" t="s">
        <v>185</v>
      </c>
    </row>
    <row r="879" spans="2:3" hidden="1">
      <c r="B879" s="61">
        <v>3463</v>
      </c>
      <c r="C879" s="56" t="s">
        <v>185</v>
      </c>
    </row>
    <row r="880" spans="2:3" hidden="1">
      <c r="B880" s="61">
        <v>3462</v>
      </c>
      <c r="C880" s="56" t="s">
        <v>185</v>
      </c>
    </row>
    <row r="881" spans="2:3" hidden="1">
      <c r="B881" s="61">
        <v>3461</v>
      </c>
      <c r="C881" s="56" t="s">
        <v>185</v>
      </c>
    </row>
    <row r="882" spans="2:3" hidden="1">
      <c r="B882" s="61">
        <v>3454</v>
      </c>
      <c r="C882" s="56" t="s">
        <v>185</v>
      </c>
    </row>
    <row r="883" spans="2:3" hidden="1">
      <c r="B883" s="61">
        <v>3453</v>
      </c>
      <c r="C883" s="56" t="s">
        <v>185</v>
      </c>
    </row>
    <row r="884" spans="2:3" hidden="1">
      <c r="B884" s="61">
        <v>3452</v>
      </c>
      <c r="C884" s="56" t="s">
        <v>185</v>
      </c>
    </row>
    <row r="885" spans="2:3" hidden="1">
      <c r="B885" s="61">
        <v>3451</v>
      </c>
      <c r="C885" s="56" t="s">
        <v>185</v>
      </c>
    </row>
    <row r="886" spans="2:3" hidden="1">
      <c r="B886" s="61">
        <v>3374</v>
      </c>
      <c r="C886" s="56" t="s">
        <v>185</v>
      </c>
    </row>
    <row r="887" spans="2:3" hidden="1">
      <c r="B887" s="61">
        <v>3373</v>
      </c>
      <c r="C887" s="56" t="s">
        <v>185</v>
      </c>
    </row>
    <row r="888" spans="2:3" hidden="1">
      <c r="B888" s="61">
        <v>3372</v>
      </c>
      <c r="C888" s="56" t="s">
        <v>185</v>
      </c>
    </row>
    <row r="889" spans="2:3" hidden="1">
      <c r="B889" s="61">
        <v>3371</v>
      </c>
      <c r="C889" s="56" t="s">
        <v>185</v>
      </c>
    </row>
    <row r="890" spans="2:3" hidden="1">
      <c r="B890" s="61">
        <v>3364</v>
      </c>
      <c r="C890" s="56" t="s">
        <v>185</v>
      </c>
    </row>
    <row r="891" spans="2:3" hidden="1">
      <c r="B891" s="61">
        <v>3363</v>
      </c>
      <c r="C891" s="56" t="s">
        <v>185</v>
      </c>
    </row>
    <row r="892" spans="2:3" hidden="1">
      <c r="B892" s="61">
        <v>3362</v>
      </c>
      <c r="C892" s="56" t="s">
        <v>185</v>
      </c>
    </row>
    <row r="893" spans="2:3" hidden="1">
      <c r="B893" s="61">
        <v>3361</v>
      </c>
      <c r="C893" s="56" t="s">
        <v>185</v>
      </c>
    </row>
    <row r="894" spans="2:3" hidden="1">
      <c r="B894" s="61">
        <v>3354</v>
      </c>
      <c r="C894" s="56" t="s">
        <v>185</v>
      </c>
    </row>
    <row r="895" spans="2:3" hidden="1">
      <c r="B895" s="61">
        <v>3353</v>
      </c>
      <c r="C895" s="56" t="s">
        <v>185</v>
      </c>
    </row>
    <row r="896" spans="2:3" hidden="1">
      <c r="B896" s="61">
        <v>3352</v>
      </c>
      <c r="C896" s="56" t="s">
        <v>185</v>
      </c>
    </row>
    <row r="897" spans="2:3" hidden="1">
      <c r="B897" s="61">
        <v>3351</v>
      </c>
      <c r="C897" s="56" t="s">
        <v>185</v>
      </c>
    </row>
    <row r="898" spans="2:3" hidden="1">
      <c r="B898" s="61">
        <v>3274</v>
      </c>
      <c r="C898" s="56" t="s">
        <v>185</v>
      </c>
    </row>
    <row r="899" spans="2:3" hidden="1">
      <c r="B899" s="61">
        <v>3273</v>
      </c>
      <c r="C899" s="56" t="s">
        <v>185</v>
      </c>
    </row>
    <row r="900" spans="2:3" hidden="1">
      <c r="B900" s="61">
        <v>3272</v>
      </c>
      <c r="C900" s="56" t="s">
        <v>185</v>
      </c>
    </row>
    <row r="901" spans="2:3" hidden="1">
      <c r="B901" s="61">
        <v>3271</v>
      </c>
      <c r="C901" s="56" t="s">
        <v>185</v>
      </c>
    </row>
    <row r="902" spans="2:3" hidden="1">
      <c r="B902" s="61">
        <v>3264</v>
      </c>
      <c r="C902" s="56" t="s">
        <v>185</v>
      </c>
    </row>
    <row r="903" spans="2:3" hidden="1">
      <c r="B903" s="61">
        <v>3263</v>
      </c>
      <c r="C903" s="56" t="s">
        <v>185</v>
      </c>
    </row>
    <row r="904" spans="2:3" hidden="1">
      <c r="B904" s="61">
        <v>3262</v>
      </c>
      <c r="C904" s="56" t="s">
        <v>185</v>
      </c>
    </row>
    <row r="905" spans="2:3" hidden="1">
      <c r="B905" s="61">
        <v>3261</v>
      </c>
      <c r="C905" s="56" t="s">
        <v>185</v>
      </c>
    </row>
    <row r="906" spans="2:3" hidden="1">
      <c r="B906" s="61">
        <v>3254</v>
      </c>
      <c r="C906" s="56" t="s">
        <v>185</v>
      </c>
    </row>
    <row r="907" spans="2:3" hidden="1">
      <c r="B907" s="61">
        <v>3253</v>
      </c>
      <c r="C907" s="56" t="s">
        <v>185</v>
      </c>
    </row>
    <row r="908" spans="2:3" hidden="1">
      <c r="B908" s="61">
        <v>3252</v>
      </c>
      <c r="C908" s="56" t="s">
        <v>185</v>
      </c>
    </row>
    <row r="909" spans="2:3" hidden="1">
      <c r="B909" s="61">
        <v>3251</v>
      </c>
      <c r="C909" s="56" t="s">
        <v>185</v>
      </c>
    </row>
    <row r="910" spans="2:3" hidden="1">
      <c r="B910" s="61">
        <v>3174</v>
      </c>
      <c r="C910" s="56" t="s">
        <v>185</v>
      </c>
    </row>
    <row r="911" spans="2:3" hidden="1">
      <c r="B911" s="61">
        <v>3173</v>
      </c>
      <c r="C911" s="56" t="s">
        <v>185</v>
      </c>
    </row>
    <row r="912" spans="2:3" hidden="1">
      <c r="B912" s="61">
        <v>3172</v>
      </c>
      <c r="C912" s="56" t="s">
        <v>185</v>
      </c>
    </row>
    <row r="913" spans="2:3" hidden="1">
      <c r="B913" s="61">
        <v>3171</v>
      </c>
      <c r="C913" s="56" t="s">
        <v>185</v>
      </c>
    </row>
    <row r="914" spans="2:3" hidden="1">
      <c r="B914" s="61">
        <v>3164</v>
      </c>
      <c r="C914" s="56" t="s">
        <v>185</v>
      </c>
    </row>
    <row r="915" spans="2:3" hidden="1">
      <c r="B915" s="61">
        <v>3163</v>
      </c>
      <c r="C915" s="56" t="s">
        <v>185</v>
      </c>
    </row>
    <row r="916" spans="2:3" hidden="1">
      <c r="B916" s="61">
        <v>3162</v>
      </c>
      <c r="C916" s="56" t="s">
        <v>185</v>
      </c>
    </row>
    <row r="917" spans="2:3" hidden="1">
      <c r="B917" s="61">
        <v>3161</v>
      </c>
      <c r="C917" s="56" t="s">
        <v>185</v>
      </c>
    </row>
    <row r="918" spans="2:3" hidden="1">
      <c r="B918" s="61">
        <v>3154</v>
      </c>
      <c r="C918" s="56" t="s">
        <v>185</v>
      </c>
    </row>
    <row r="919" spans="2:3" hidden="1">
      <c r="B919" s="61">
        <v>3153</v>
      </c>
      <c r="C919" s="56" t="s">
        <v>185</v>
      </c>
    </row>
    <row r="920" spans="2:3" hidden="1">
      <c r="B920" s="61">
        <v>3152</v>
      </c>
      <c r="C920" s="56" t="s">
        <v>185</v>
      </c>
    </row>
    <row r="921" spans="2:3" hidden="1">
      <c r="B921" s="61">
        <v>3151</v>
      </c>
      <c r="C921" s="56" t="s">
        <v>185</v>
      </c>
    </row>
    <row r="922" spans="2:3" hidden="1">
      <c r="B922" s="61">
        <v>2474</v>
      </c>
      <c r="C922" s="56" t="s">
        <v>185</v>
      </c>
    </row>
    <row r="923" spans="2:3" hidden="1">
      <c r="B923" s="61">
        <v>2473</v>
      </c>
      <c r="C923" s="56" t="s">
        <v>185</v>
      </c>
    </row>
    <row r="924" spans="2:3" hidden="1">
      <c r="B924" s="61">
        <v>2472</v>
      </c>
      <c r="C924" s="56" t="s">
        <v>185</v>
      </c>
    </row>
    <row r="925" spans="2:3" hidden="1">
      <c r="B925" s="61">
        <v>2471</v>
      </c>
      <c r="C925" s="56" t="s">
        <v>185</v>
      </c>
    </row>
    <row r="926" spans="2:3" hidden="1">
      <c r="B926" s="61">
        <v>2464</v>
      </c>
      <c r="C926" s="56" t="s">
        <v>185</v>
      </c>
    </row>
    <row r="927" spans="2:3" hidden="1">
      <c r="B927" s="61">
        <v>2463</v>
      </c>
      <c r="C927" s="56" t="s">
        <v>185</v>
      </c>
    </row>
    <row r="928" spans="2:3" hidden="1">
      <c r="B928" s="61">
        <v>2462</v>
      </c>
      <c r="C928" s="56" t="s">
        <v>185</v>
      </c>
    </row>
    <row r="929" spans="2:3" hidden="1">
      <c r="B929" s="61">
        <v>2461</v>
      </c>
      <c r="C929" s="56" t="s">
        <v>185</v>
      </c>
    </row>
    <row r="930" spans="2:3" hidden="1">
      <c r="B930" s="61">
        <v>2454</v>
      </c>
      <c r="C930" s="56" t="s">
        <v>185</v>
      </c>
    </row>
    <row r="931" spans="2:3" hidden="1">
      <c r="B931" s="61">
        <v>2453</v>
      </c>
      <c r="C931" s="56" t="s">
        <v>185</v>
      </c>
    </row>
    <row r="932" spans="2:3" hidden="1">
      <c r="B932" s="61">
        <v>2452</v>
      </c>
      <c r="C932" s="56" t="s">
        <v>185</v>
      </c>
    </row>
    <row r="933" spans="2:3" hidden="1">
      <c r="B933" s="61">
        <v>2451</v>
      </c>
      <c r="C933" s="56" t="s">
        <v>185</v>
      </c>
    </row>
    <row r="934" spans="2:3" hidden="1">
      <c r="B934" s="61">
        <v>2374</v>
      </c>
      <c r="C934" s="56" t="s">
        <v>185</v>
      </c>
    </row>
    <row r="935" spans="2:3" hidden="1">
      <c r="B935" s="61">
        <v>2373</v>
      </c>
      <c r="C935" s="56" t="s">
        <v>185</v>
      </c>
    </row>
    <row r="936" spans="2:3" hidden="1">
      <c r="B936" s="61">
        <v>2372</v>
      </c>
      <c r="C936" s="56" t="s">
        <v>185</v>
      </c>
    </row>
    <row r="937" spans="2:3" hidden="1">
      <c r="B937" s="61">
        <v>2371</v>
      </c>
      <c r="C937" s="56" t="s">
        <v>185</v>
      </c>
    </row>
    <row r="938" spans="2:3" hidden="1">
      <c r="B938" s="61">
        <v>2364</v>
      </c>
      <c r="C938" s="56" t="s">
        <v>185</v>
      </c>
    </row>
    <row r="939" spans="2:3" hidden="1">
      <c r="B939" s="61">
        <v>2363</v>
      </c>
      <c r="C939" s="56" t="s">
        <v>185</v>
      </c>
    </row>
    <row r="940" spans="2:3" hidden="1">
      <c r="B940" s="61">
        <v>2362</v>
      </c>
      <c r="C940" s="56" t="s">
        <v>185</v>
      </c>
    </row>
    <row r="941" spans="2:3" hidden="1">
      <c r="B941" s="61">
        <v>2361</v>
      </c>
      <c r="C941" s="56" t="s">
        <v>185</v>
      </c>
    </row>
    <row r="942" spans="2:3" hidden="1">
      <c r="B942" s="61">
        <v>2354</v>
      </c>
      <c r="C942" s="56" t="s">
        <v>185</v>
      </c>
    </row>
    <row r="943" spans="2:3" hidden="1">
      <c r="B943" s="61">
        <v>2353</v>
      </c>
      <c r="C943" s="56" t="s">
        <v>185</v>
      </c>
    </row>
    <row r="944" spans="2:3" hidden="1">
      <c r="B944" s="61">
        <v>2352</v>
      </c>
      <c r="C944" s="56" t="s">
        <v>185</v>
      </c>
    </row>
    <row r="945" spans="2:3" hidden="1">
      <c r="B945" s="61">
        <v>2351</v>
      </c>
      <c r="C945" s="56" t="s">
        <v>185</v>
      </c>
    </row>
    <row r="946" spans="2:3" hidden="1">
      <c r="B946" s="61">
        <v>2274</v>
      </c>
      <c r="C946" s="56" t="s">
        <v>185</v>
      </c>
    </row>
    <row r="947" spans="2:3" hidden="1">
      <c r="B947" s="61">
        <v>2273</v>
      </c>
      <c r="C947" s="56" t="s">
        <v>185</v>
      </c>
    </row>
    <row r="948" spans="2:3" hidden="1">
      <c r="B948" s="61">
        <v>2272</v>
      </c>
      <c r="C948" s="56" t="s">
        <v>185</v>
      </c>
    </row>
    <row r="949" spans="2:3" hidden="1">
      <c r="B949" s="61">
        <v>2271</v>
      </c>
      <c r="C949" s="56" t="s">
        <v>185</v>
      </c>
    </row>
    <row r="950" spans="2:3" hidden="1">
      <c r="B950" s="61">
        <v>2264</v>
      </c>
      <c r="C950" s="56" t="s">
        <v>185</v>
      </c>
    </row>
    <row r="951" spans="2:3" hidden="1">
      <c r="B951" s="61">
        <v>2263</v>
      </c>
      <c r="C951" s="56" t="s">
        <v>185</v>
      </c>
    </row>
    <row r="952" spans="2:3" hidden="1">
      <c r="B952" s="61">
        <v>2262</v>
      </c>
      <c r="C952" s="56" t="s">
        <v>185</v>
      </c>
    </row>
    <row r="953" spans="2:3" hidden="1">
      <c r="B953" s="61">
        <v>2261</v>
      </c>
      <c r="C953" s="56" t="s">
        <v>185</v>
      </c>
    </row>
    <row r="954" spans="2:3" hidden="1">
      <c r="B954" s="61">
        <v>2254</v>
      </c>
      <c r="C954" s="56" t="s">
        <v>185</v>
      </c>
    </row>
    <row r="955" spans="2:3" hidden="1">
      <c r="B955" s="61">
        <v>2253</v>
      </c>
      <c r="C955" s="56" t="s">
        <v>185</v>
      </c>
    </row>
    <row r="956" spans="2:3" hidden="1">
      <c r="B956" s="61">
        <v>2252</v>
      </c>
      <c r="C956" s="56" t="s">
        <v>185</v>
      </c>
    </row>
    <row r="957" spans="2:3" hidden="1">
      <c r="B957" s="61">
        <v>2251</v>
      </c>
      <c r="C957" s="56" t="s">
        <v>185</v>
      </c>
    </row>
    <row r="958" spans="2:3" hidden="1">
      <c r="B958" s="61">
        <v>2174</v>
      </c>
      <c r="C958" s="56" t="s">
        <v>185</v>
      </c>
    </row>
    <row r="959" spans="2:3" hidden="1">
      <c r="B959" s="61">
        <v>2173</v>
      </c>
      <c r="C959" s="56" t="s">
        <v>185</v>
      </c>
    </row>
    <row r="960" spans="2:3" hidden="1">
      <c r="B960" s="61">
        <v>2172</v>
      </c>
      <c r="C960" s="56" t="s">
        <v>185</v>
      </c>
    </row>
    <row r="961" spans="2:3" hidden="1">
      <c r="B961" s="61">
        <v>2171</v>
      </c>
      <c r="C961" s="56" t="s">
        <v>185</v>
      </c>
    </row>
    <row r="962" spans="2:3" hidden="1">
      <c r="B962" s="61">
        <v>2164</v>
      </c>
      <c r="C962" s="56" t="s">
        <v>185</v>
      </c>
    </row>
    <row r="963" spans="2:3" hidden="1">
      <c r="B963" s="61">
        <v>2163</v>
      </c>
      <c r="C963" s="56" t="s">
        <v>185</v>
      </c>
    </row>
    <row r="964" spans="2:3" hidden="1">
      <c r="B964" s="61">
        <v>2162</v>
      </c>
      <c r="C964" s="56" t="s">
        <v>185</v>
      </c>
    </row>
    <row r="965" spans="2:3" hidden="1">
      <c r="B965" s="61">
        <v>2161</v>
      </c>
      <c r="C965" s="56" t="s">
        <v>185</v>
      </c>
    </row>
    <row r="966" spans="2:3" hidden="1">
      <c r="B966" s="61">
        <v>2154</v>
      </c>
      <c r="C966" s="56" t="s">
        <v>185</v>
      </c>
    </row>
    <row r="967" spans="2:3" hidden="1">
      <c r="B967" s="61">
        <v>2153</v>
      </c>
      <c r="C967" s="56" t="s">
        <v>185</v>
      </c>
    </row>
    <row r="968" spans="2:3" hidden="1">
      <c r="B968" s="61">
        <v>2152</v>
      </c>
      <c r="C968" s="56" t="s">
        <v>185</v>
      </c>
    </row>
    <row r="969" spans="2:3" hidden="1">
      <c r="B969" s="61">
        <v>2151</v>
      </c>
      <c r="C969" s="56" t="s">
        <v>185</v>
      </c>
    </row>
    <row r="970" spans="2:3" hidden="1">
      <c r="B970" s="61">
        <v>1474</v>
      </c>
      <c r="C970" s="56" t="s">
        <v>185</v>
      </c>
    </row>
    <row r="971" spans="2:3" hidden="1">
      <c r="B971" s="61">
        <v>1473</v>
      </c>
      <c r="C971" s="56" t="s">
        <v>185</v>
      </c>
    </row>
    <row r="972" spans="2:3" hidden="1">
      <c r="B972" s="61">
        <v>1472</v>
      </c>
      <c r="C972" s="56" t="s">
        <v>185</v>
      </c>
    </row>
    <row r="973" spans="2:3" hidden="1">
      <c r="B973" s="61">
        <v>1471</v>
      </c>
      <c r="C973" s="56" t="s">
        <v>185</v>
      </c>
    </row>
    <row r="974" spans="2:3" hidden="1">
      <c r="B974" s="61">
        <v>1464</v>
      </c>
      <c r="C974" s="56" t="s">
        <v>185</v>
      </c>
    </row>
    <row r="975" spans="2:3" hidden="1">
      <c r="B975" s="61">
        <v>1463</v>
      </c>
      <c r="C975" s="56" t="s">
        <v>185</v>
      </c>
    </row>
    <row r="976" spans="2:3" hidden="1">
      <c r="B976" s="61">
        <v>1462</v>
      </c>
      <c r="C976" s="56" t="s">
        <v>185</v>
      </c>
    </row>
    <row r="977" spans="2:3" hidden="1">
      <c r="B977" s="61">
        <v>1461</v>
      </c>
      <c r="C977" s="56" t="s">
        <v>185</v>
      </c>
    </row>
    <row r="978" spans="2:3" hidden="1">
      <c r="B978" s="61">
        <v>1454</v>
      </c>
      <c r="C978" s="56" t="s">
        <v>185</v>
      </c>
    </row>
    <row r="979" spans="2:3" hidden="1">
      <c r="B979" s="61">
        <v>1453</v>
      </c>
      <c r="C979" s="56" t="s">
        <v>185</v>
      </c>
    </row>
    <row r="980" spans="2:3" hidden="1">
      <c r="B980" s="61">
        <v>1452</v>
      </c>
      <c r="C980" s="56" t="s">
        <v>185</v>
      </c>
    </row>
    <row r="981" spans="2:3" hidden="1">
      <c r="B981" s="61">
        <v>1451</v>
      </c>
      <c r="C981" s="56" t="s">
        <v>185</v>
      </c>
    </row>
    <row r="982" spans="2:3" hidden="1">
      <c r="B982" s="61">
        <v>1374</v>
      </c>
      <c r="C982" s="56" t="s">
        <v>185</v>
      </c>
    </row>
    <row r="983" spans="2:3" hidden="1">
      <c r="B983" s="61">
        <v>1373</v>
      </c>
      <c r="C983" s="56" t="s">
        <v>185</v>
      </c>
    </row>
    <row r="984" spans="2:3" hidden="1">
      <c r="B984" s="61">
        <v>1372</v>
      </c>
      <c r="C984" s="56" t="s">
        <v>185</v>
      </c>
    </row>
    <row r="985" spans="2:3" hidden="1">
      <c r="B985" s="61">
        <v>1371</v>
      </c>
      <c r="C985" s="56" t="s">
        <v>185</v>
      </c>
    </row>
    <row r="986" spans="2:3" hidden="1">
      <c r="B986" s="61">
        <v>1364</v>
      </c>
      <c r="C986" s="56" t="s">
        <v>185</v>
      </c>
    </row>
    <row r="987" spans="2:3" hidden="1">
      <c r="B987" s="61">
        <v>1363</v>
      </c>
      <c r="C987" s="56" t="s">
        <v>185</v>
      </c>
    </row>
    <row r="988" spans="2:3" hidden="1">
      <c r="B988" s="61">
        <v>1362</v>
      </c>
      <c r="C988" s="56" t="s">
        <v>185</v>
      </c>
    </row>
    <row r="989" spans="2:3" hidden="1">
      <c r="B989" s="61">
        <v>1361</v>
      </c>
      <c r="C989" s="56" t="s">
        <v>185</v>
      </c>
    </row>
    <row r="990" spans="2:3" hidden="1">
      <c r="B990" s="61">
        <v>1354</v>
      </c>
      <c r="C990" s="56" t="s">
        <v>185</v>
      </c>
    </row>
    <row r="991" spans="2:3" hidden="1">
      <c r="B991" s="61">
        <v>1353</v>
      </c>
      <c r="C991" s="56" t="s">
        <v>185</v>
      </c>
    </row>
    <row r="992" spans="2:3" hidden="1">
      <c r="B992" s="61">
        <v>1352</v>
      </c>
      <c r="C992" s="56" t="s">
        <v>185</v>
      </c>
    </row>
    <row r="993" spans="2:3" hidden="1">
      <c r="B993" s="61">
        <v>1351</v>
      </c>
      <c r="C993" s="56" t="s">
        <v>185</v>
      </c>
    </row>
    <row r="994" spans="2:3" hidden="1">
      <c r="B994" s="61">
        <v>1274</v>
      </c>
      <c r="C994" s="56" t="s">
        <v>185</v>
      </c>
    </row>
    <row r="995" spans="2:3" hidden="1">
      <c r="B995" s="61">
        <v>1273</v>
      </c>
      <c r="C995" s="56" t="s">
        <v>185</v>
      </c>
    </row>
    <row r="996" spans="2:3" hidden="1">
      <c r="B996" s="61">
        <v>1272</v>
      </c>
      <c r="C996" s="56" t="s">
        <v>185</v>
      </c>
    </row>
    <row r="997" spans="2:3" hidden="1">
      <c r="B997" s="61">
        <v>1271</v>
      </c>
      <c r="C997" s="56" t="s">
        <v>185</v>
      </c>
    </row>
    <row r="998" spans="2:3" hidden="1">
      <c r="B998" s="61">
        <v>1264</v>
      </c>
      <c r="C998" s="56" t="s">
        <v>185</v>
      </c>
    </row>
    <row r="999" spans="2:3" hidden="1">
      <c r="B999" s="61">
        <v>1263</v>
      </c>
      <c r="C999" s="56" t="s">
        <v>185</v>
      </c>
    </row>
    <row r="1000" spans="2:3" hidden="1">
      <c r="B1000" s="61">
        <v>1262</v>
      </c>
      <c r="C1000" s="56" t="s">
        <v>185</v>
      </c>
    </row>
    <row r="1001" spans="2:3" hidden="1">
      <c r="B1001" s="61">
        <v>1261</v>
      </c>
      <c r="C1001" s="56" t="s">
        <v>185</v>
      </c>
    </row>
    <row r="1002" spans="2:3" hidden="1">
      <c r="B1002" s="61">
        <v>1254</v>
      </c>
      <c r="C1002" s="56" t="s">
        <v>185</v>
      </c>
    </row>
    <row r="1003" spans="2:3" hidden="1">
      <c r="B1003" s="61">
        <v>1253</v>
      </c>
      <c r="C1003" s="56" t="s">
        <v>185</v>
      </c>
    </row>
    <row r="1004" spans="2:3" hidden="1">
      <c r="B1004" s="61">
        <v>1252</v>
      </c>
      <c r="C1004" s="56" t="s">
        <v>185</v>
      </c>
    </row>
    <row r="1005" spans="2:3" hidden="1">
      <c r="B1005" s="61">
        <v>1251</v>
      </c>
      <c r="C1005" s="56" t="s">
        <v>185</v>
      </c>
    </row>
    <row r="1006" spans="2:3" hidden="1">
      <c r="B1006" s="61">
        <v>1174</v>
      </c>
      <c r="C1006" s="56" t="s">
        <v>185</v>
      </c>
    </row>
    <row r="1007" spans="2:3" hidden="1">
      <c r="B1007" s="61">
        <v>1173</v>
      </c>
      <c r="C1007" s="56" t="s">
        <v>185</v>
      </c>
    </row>
    <row r="1008" spans="2:3" hidden="1">
      <c r="B1008" s="61">
        <v>1172</v>
      </c>
      <c r="C1008" s="56" t="s">
        <v>185</v>
      </c>
    </row>
    <row r="1009" spans="2:3" hidden="1">
      <c r="B1009" s="61">
        <v>1171</v>
      </c>
      <c r="C1009" s="56" t="s">
        <v>185</v>
      </c>
    </row>
    <row r="1010" spans="2:3" hidden="1">
      <c r="B1010" s="61">
        <v>1164</v>
      </c>
      <c r="C1010" s="56" t="s">
        <v>185</v>
      </c>
    </row>
    <row r="1011" spans="2:3" hidden="1">
      <c r="B1011" s="61">
        <v>1163</v>
      </c>
      <c r="C1011" s="56" t="s">
        <v>185</v>
      </c>
    </row>
    <row r="1012" spans="2:3" hidden="1">
      <c r="B1012" s="61">
        <v>1162</v>
      </c>
      <c r="C1012" s="56" t="s">
        <v>185</v>
      </c>
    </row>
    <row r="1013" spans="2:3" hidden="1">
      <c r="B1013" s="61">
        <v>1161</v>
      </c>
      <c r="C1013" s="56" t="s">
        <v>185</v>
      </c>
    </row>
    <row r="1014" spans="2:3" hidden="1">
      <c r="B1014" s="61">
        <v>1154</v>
      </c>
      <c r="C1014" s="56" t="s">
        <v>185</v>
      </c>
    </row>
    <row r="1015" spans="2:3" hidden="1">
      <c r="B1015" s="61">
        <v>1153</v>
      </c>
      <c r="C1015" s="56" t="s">
        <v>185</v>
      </c>
    </row>
    <row r="1016" spans="2:3" hidden="1">
      <c r="B1016" s="61">
        <v>1152</v>
      </c>
      <c r="C1016" s="56" t="s">
        <v>185</v>
      </c>
    </row>
    <row r="1017" spans="2:3" hidden="1">
      <c r="B1017" s="61">
        <v>1151</v>
      </c>
      <c r="C1017" s="56" t="s">
        <v>185</v>
      </c>
    </row>
    <row r="1018" spans="2:3" hidden="1">
      <c r="B1018" s="61">
        <v>7747</v>
      </c>
      <c r="C1018" s="56" t="s">
        <v>186</v>
      </c>
    </row>
    <row r="1019" spans="2:3" hidden="1">
      <c r="B1019" s="61">
        <v>7746</v>
      </c>
      <c r="C1019" s="56" t="s">
        <v>186</v>
      </c>
    </row>
    <row r="1020" spans="2:3" hidden="1">
      <c r="B1020" s="61">
        <v>7745</v>
      </c>
      <c r="C1020" s="56" t="s">
        <v>186</v>
      </c>
    </row>
    <row r="1021" spans="2:3" hidden="1">
      <c r="B1021" s="61">
        <v>7737</v>
      </c>
      <c r="C1021" s="56" t="s">
        <v>186</v>
      </c>
    </row>
    <row r="1022" spans="2:3" hidden="1">
      <c r="B1022" s="61">
        <v>7736</v>
      </c>
      <c r="C1022" s="56" t="s">
        <v>186</v>
      </c>
    </row>
    <row r="1023" spans="2:3" hidden="1">
      <c r="B1023" s="61">
        <v>7735</v>
      </c>
      <c r="C1023" s="56" t="s">
        <v>186</v>
      </c>
    </row>
    <row r="1024" spans="2:3" hidden="1">
      <c r="B1024" s="61">
        <v>7727</v>
      </c>
      <c r="C1024" s="56" t="s">
        <v>186</v>
      </c>
    </row>
    <row r="1025" spans="2:3" hidden="1">
      <c r="B1025" s="61">
        <v>7726</v>
      </c>
      <c r="C1025" s="56" t="s">
        <v>186</v>
      </c>
    </row>
    <row r="1026" spans="2:3" hidden="1">
      <c r="B1026" s="61">
        <v>7725</v>
      </c>
      <c r="C1026" s="56" t="s">
        <v>186</v>
      </c>
    </row>
    <row r="1027" spans="2:3" hidden="1">
      <c r="B1027" s="61">
        <v>7717</v>
      </c>
      <c r="C1027" s="56" t="s">
        <v>186</v>
      </c>
    </row>
    <row r="1028" spans="2:3" hidden="1">
      <c r="B1028" s="61">
        <v>7716</v>
      </c>
      <c r="C1028" s="56" t="s">
        <v>186</v>
      </c>
    </row>
    <row r="1029" spans="2:3" hidden="1">
      <c r="B1029" s="61">
        <v>7715</v>
      </c>
      <c r="C1029" s="56" t="s">
        <v>186</v>
      </c>
    </row>
    <row r="1030" spans="2:3" hidden="1">
      <c r="B1030" s="61">
        <v>6747</v>
      </c>
      <c r="C1030" s="56" t="s">
        <v>186</v>
      </c>
    </row>
    <row r="1031" spans="2:3" hidden="1">
      <c r="B1031" s="61">
        <v>6746</v>
      </c>
      <c r="C1031" s="56" t="s">
        <v>186</v>
      </c>
    </row>
    <row r="1032" spans="2:3" hidden="1">
      <c r="B1032" s="61">
        <v>6745</v>
      </c>
      <c r="C1032" s="56" t="s">
        <v>186</v>
      </c>
    </row>
    <row r="1033" spans="2:3" hidden="1">
      <c r="B1033" s="61">
        <v>6737</v>
      </c>
      <c r="C1033" s="56" t="s">
        <v>186</v>
      </c>
    </row>
    <row r="1034" spans="2:3" hidden="1">
      <c r="B1034" s="61">
        <v>6736</v>
      </c>
      <c r="C1034" s="56" t="s">
        <v>186</v>
      </c>
    </row>
    <row r="1035" spans="2:3" hidden="1">
      <c r="B1035" s="61">
        <v>6735</v>
      </c>
      <c r="C1035" s="56" t="s">
        <v>186</v>
      </c>
    </row>
    <row r="1036" spans="2:3" hidden="1">
      <c r="B1036" s="61">
        <v>6727</v>
      </c>
      <c r="C1036" s="56" t="s">
        <v>186</v>
      </c>
    </row>
    <row r="1037" spans="2:3" hidden="1">
      <c r="B1037" s="61">
        <v>6726</v>
      </c>
      <c r="C1037" s="56" t="s">
        <v>186</v>
      </c>
    </row>
    <row r="1038" spans="2:3" hidden="1">
      <c r="B1038" s="61">
        <v>6725</v>
      </c>
      <c r="C1038" s="56" t="s">
        <v>186</v>
      </c>
    </row>
    <row r="1039" spans="2:3" hidden="1">
      <c r="B1039" s="61">
        <v>6717</v>
      </c>
      <c r="C1039" s="56" t="s">
        <v>186</v>
      </c>
    </row>
    <row r="1040" spans="2:3" hidden="1">
      <c r="B1040" s="61">
        <v>6716</v>
      </c>
      <c r="C1040" s="56" t="s">
        <v>186</v>
      </c>
    </row>
    <row r="1041" spans="2:3" hidden="1">
      <c r="B1041" s="61">
        <v>6715</v>
      </c>
      <c r="C1041" s="56" t="s">
        <v>186</v>
      </c>
    </row>
    <row r="1042" spans="2:3" hidden="1">
      <c r="B1042" s="61">
        <v>6647</v>
      </c>
      <c r="C1042" s="56" t="s">
        <v>186</v>
      </c>
    </row>
    <row r="1043" spans="2:3" hidden="1">
      <c r="B1043" s="61">
        <v>6646</v>
      </c>
      <c r="C1043" s="56" t="s">
        <v>186</v>
      </c>
    </row>
    <row r="1044" spans="2:3" hidden="1">
      <c r="B1044" s="61">
        <v>6645</v>
      </c>
      <c r="C1044" s="56" t="s">
        <v>186</v>
      </c>
    </row>
    <row r="1045" spans="2:3" hidden="1">
      <c r="B1045" s="61">
        <v>6637</v>
      </c>
      <c r="C1045" s="56" t="s">
        <v>186</v>
      </c>
    </row>
    <row r="1046" spans="2:3" hidden="1">
      <c r="B1046" s="61">
        <v>6636</v>
      </c>
      <c r="C1046" s="56" t="s">
        <v>186</v>
      </c>
    </row>
    <row r="1047" spans="2:3" hidden="1">
      <c r="B1047" s="61">
        <v>6635</v>
      </c>
      <c r="C1047" s="56" t="s">
        <v>186</v>
      </c>
    </row>
    <row r="1048" spans="2:3" hidden="1">
      <c r="B1048" s="61">
        <v>6627</v>
      </c>
      <c r="C1048" s="56" t="s">
        <v>186</v>
      </c>
    </row>
    <row r="1049" spans="2:3" hidden="1">
      <c r="B1049" s="61">
        <v>6626</v>
      </c>
      <c r="C1049" s="56" t="s">
        <v>186</v>
      </c>
    </row>
    <row r="1050" spans="2:3" hidden="1">
      <c r="B1050" s="61">
        <v>6625</v>
      </c>
      <c r="C1050" s="56" t="s">
        <v>186</v>
      </c>
    </row>
    <row r="1051" spans="2:3" hidden="1">
      <c r="B1051" s="61">
        <v>6617</v>
      </c>
      <c r="C1051" s="56" t="s">
        <v>186</v>
      </c>
    </row>
    <row r="1052" spans="2:3" hidden="1">
      <c r="B1052" s="61">
        <v>6616</v>
      </c>
      <c r="C1052" s="56" t="s">
        <v>186</v>
      </c>
    </row>
    <row r="1053" spans="2:3" hidden="1">
      <c r="B1053" s="61">
        <v>6615</v>
      </c>
      <c r="C1053" s="56" t="s">
        <v>186</v>
      </c>
    </row>
    <row r="1054" spans="2:3" hidden="1">
      <c r="B1054" s="61">
        <v>5747</v>
      </c>
      <c r="C1054" s="56" t="s">
        <v>186</v>
      </c>
    </row>
    <row r="1055" spans="2:3" hidden="1">
      <c r="B1055" s="61">
        <v>5746</v>
      </c>
      <c r="C1055" s="56" t="s">
        <v>186</v>
      </c>
    </row>
    <row r="1056" spans="2:3" hidden="1">
      <c r="B1056" s="61">
        <v>5745</v>
      </c>
      <c r="C1056" s="56" t="s">
        <v>186</v>
      </c>
    </row>
    <row r="1057" spans="2:3" hidden="1">
      <c r="B1057" s="61">
        <v>5737</v>
      </c>
      <c r="C1057" s="56" t="s">
        <v>186</v>
      </c>
    </row>
    <row r="1058" spans="2:3" hidden="1">
      <c r="B1058" s="61">
        <v>5736</v>
      </c>
      <c r="C1058" s="56" t="s">
        <v>186</v>
      </c>
    </row>
    <row r="1059" spans="2:3" hidden="1">
      <c r="B1059" s="61">
        <v>5735</v>
      </c>
      <c r="C1059" s="56" t="s">
        <v>186</v>
      </c>
    </row>
    <row r="1060" spans="2:3" hidden="1">
      <c r="B1060" s="61">
        <v>5727</v>
      </c>
      <c r="C1060" s="56" t="s">
        <v>186</v>
      </c>
    </row>
    <row r="1061" spans="2:3" hidden="1">
      <c r="B1061" s="61">
        <v>5726</v>
      </c>
      <c r="C1061" s="56" t="s">
        <v>186</v>
      </c>
    </row>
    <row r="1062" spans="2:3" hidden="1">
      <c r="B1062" s="61">
        <v>5725</v>
      </c>
      <c r="C1062" s="56" t="s">
        <v>186</v>
      </c>
    </row>
    <row r="1063" spans="2:3" hidden="1">
      <c r="B1063" s="61">
        <v>5717</v>
      </c>
      <c r="C1063" s="56" t="s">
        <v>186</v>
      </c>
    </row>
    <row r="1064" spans="2:3" hidden="1">
      <c r="B1064" s="61">
        <v>5716</v>
      </c>
      <c r="C1064" s="56" t="s">
        <v>186</v>
      </c>
    </row>
    <row r="1065" spans="2:3" hidden="1">
      <c r="B1065" s="61">
        <v>5715</v>
      </c>
      <c r="C1065" s="56" t="s">
        <v>186</v>
      </c>
    </row>
    <row r="1066" spans="2:3" hidden="1">
      <c r="B1066" s="61">
        <v>5647</v>
      </c>
      <c r="C1066" s="56" t="s">
        <v>186</v>
      </c>
    </row>
    <row r="1067" spans="2:3" hidden="1">
      <c r="B1067" s="61">
        <v>5646</v>
      </c>
      <c r="C1067" s="56" t="s">
        <v>186</v>
      </c>
    </row>
    <row r="1068" spans="2:3" hidden="1">
      <c r="B1068" s="61">
        <v>5645</v>
      </c>
      <c r="C1068" s="56" t="s">
        <v>186</v>
      </c>
    </row>
    <row r="1069" spans="2:3" hidden="1">
      <c r="B1069" s="61">
        <v>5637</v>
      </c>
      <c r="C1069" s="56" t="s">
        <v>186</v>
      </c>
    </row>
    <row r="1070" spans="2:3" hidden="1">
      <c r="B1070" s="61">
        <v>5636</v>
      </c>
      <c r="C1070" s="56" t="s">
        <v>186</v>
      </c>
    </row>
    <row r="1071" spans="2:3" hidden="1">
      <c r="B1071" s="61">
        <v>5635</v>
      </c>
      <c r="C1071" s="56" t="s">
        <v>186</v>
      </c>
    </row>
    <row r="1072" spans="2:3" hidden="1">
      <c r="B1072" s="61">
        <v>5627</v>
      </c>
      <c r="C1072" s="56" t="s">
        <v>186</v>
      </c>
    </row>
    <row r="1073" spans="2:3" hidden="1">
      <c r="B1073" s="61">
        <v>5626</v>
      </c>
      <c r="C1073" s="56" t="s">
        <v>186</v>
      </c>
    </row>
    <row r="1074" spans="2:3" hidden="1">
      <c r="B1074" s="61">
        <v>5625</v>
      </c>
      <c r="C1074" s="56" t="s">
        <v>186</v>
      </c>
    </row>
    <row r="1075" spans="2:3" hidden="1">
      <c r="B1075" s="61">
        <v>5617</v>
      </c>
      <c r="C1075" s="56" t="s">
        <v>186</v>
      </c>
    </row>
    <row r="1076" spans="2:3" hidden="1">
      <c r="B1076" s="61">
        <v>5616</v>
      </c>
      <c r="C1076" s="56" t="s">
        <v>186</v>
      </c>
    </row>
    <row r="1077" spans="2:3" hidden="1">
      <c r="B1077" s="61">
        <v>5615</v>
      </c>
      <c r="C1077" s="56" t="s">
        <v>186</v>
      </c>
    </row>
    <row r="1078" spans="2:3" hidden="1">
      <c r="B1078" s="61">
        <v>5547</v>
      </c>
      <c r="C1078" s="56" t="s">
        <v>186</v>
      </c>
    </row>
    <row r="1079" spans="2:3" hidden="1">
      <c r="B1079" s="61">
        <v>5546</v>
      </c>
      <c r="C1079" s="56" t="s">
        <v>186</v>
      </c>
    </row>
    <row r="1080" spans="2:3" hidden="1">
      <c r="B1080" s="61">
        <v>5545</v>
      </c>
      <c r="C1080" s="56" t="s">
        <v>186</v>
      </c>
    </row>
    <row r="1081" spans="2:3" hidden="1">
      <c r="B1081" s="61">
        <v>5537</v>
      </c>
      <c r="C1081" s="56" t="s">
        <v>186</v>
      </c>
    </row>
    <row r="1082" spans="2:3" hidden="1">
      <c r="B1082" s="61">
        <v>5536</v>
      </c>
      <c r="C1082" s="56" t="s">
        <v>186</v>
      </c>
    </row>
    <row r="1083" spans="2:3" hidden="1">
      <c r="B1083" s="61">
        <v>5535</v>
      </c>
      <c r="C1083" s="56" t="s">
        <v>186</v>
      </c>
    </row>
    <row r="1084" spans="2:3" hidden="1">
      <c r="B1084" s="61">
        <v>5527</v>
      </c>
      <c r="C1084" s="56" t="s">
        <v>186</v>
      </c>
    </row>
    <row r="1085" spans="2:3" hidden="1">
      <c r="B1085" s="61">
        <v>5526</v>
      </c>
      <c r="C1085" s="56" t="s">
        <v>186</v>
      </c>
    </row>
    <row r="1086" spans="2:3" hidden="1">
      <c r="B1086" s="61">
        <v>5525</v>
      </c>
      <c r="C1086" s="56" t="s">
        <v>186</v>
      </c>
    </row>
    <row r="1087" spans="2:3" hidden="1">
      <c r="B1087" s="61">
        <v>5517</v>
      </c>
      <c r="C1087" s="56" t="s">
        <v>186</v>
      </c>
    </row>
    <row r="1088" spans="2:3" hidden="1">
      <c r="B1088" s="61">
        <v>5516</v>
      </c>
      <c r="C1088" s="56" t="s">
        <v>186</v>
      </c>
    </row>
    <row r="1089" spans="2:3" hidden="1">
      <c r="B1089" s="61">
        <v>5515</v>
      </c>
      <c r="C1089" s="56" t="s">
        <v>186</v>
      </c>
    </row>
    <row r="1090" spans="2:3" hidden="1">
      <c r="B1090" s="61">
        <v>4747</v>
      </c>
      <c r="C1090" s="56" t="s">
        <v>186</v>
      </c>
    </row>
    <row r="1091" spans="2:3" hidden="1">
      <c r="B1091" s="61">
        <v>4746</v>
      </c>
      <c r="C1091" s="56" t="s">
        <v>186</v>
      </c>
    </row>
    <row r="1092" spans="2:3" hidden="1">
      <c r="B1092" s="61">
        <v>4745</v>
      </c>
      <c r="C1092" s="56" t="s">
        <v>186</v>
      </c>
    </row>
    <row r="1093" spans="2:3" hidden="1">
      <c r="B1093" s="61">
        <v>4737</v>
      </c>
      <c r="C1093" s="56" t="s">
        <v>186</v>
      </c>
    </row>
    <row r="1094" spans="2:3" hidden="1">
      <c r="B1094" s="61">
        <v>4736</v>
      </c>
      <c r="C1094" s="56" t="s">
        <v>186</v>
      </c>
    </row>
    <row r="1095" spans="2:3" hidden="1">
      <c r="B1095" s="61">
        <v>4735</v>
      </c>
      <c r="C1095" s="56" t="s">
        <v>186</v>
      </c>
    </row>
    <row r="1096" spans="2:3" hidden="1">
      <c r="B1096" s="61">
        <v>4727</v>
      </c>
      <c r="C1096" s="56" t="s">
        <v>186</v>
      </c>
    </row>
    <row r="1097" spans="2:3" hidden="1">
      <c r="B1097" s="61">
        <v>4726</v>
      </c>
      <c r="C1097" s="56" t="s">
        <v>186</v>
      </c>
    </row>
    <row r="1098" spans="2:3" hidden="1">
      <c r="B1098" s="61">
        <v>4725</v>
      </c>
      <c r="C1098" s="56" t="s">
        <v>186</v>
      </c>
    </row>
    <row r="1099" spans="2:3" hidden="1">
      <c r="B1099" s="61">
        <v>4717</v>
      </c>
      <c r="C1099" s="56" t="s">
        <v>186</v>
      </c>
    </row>
    <row r="1100" spans="2:3" hidden="1">
      <c r="B1100" s="61">
        <v>4716</v>
      </c>
      <c r="C1100" s="56" t="s">
        <v>186</v>
      </c>
    </row>
    <row r="1101" spans="2:3" hidden="1">
      <c r="B1101" s="61">
        <v>4715</v>
      </c>
      <c r="C1101" s="56" t="s">
        <v>186</v>
      </c>
    </row>
    <row r="1102" spans="2:3" hidden="1">
      <c r="B1102" s="61">
        <v>4647</v>
      </c>
      <c r="C1102" s="56" t="s">
        <v>186</v>
      </c>
    </row>
    <row r="1103" spans="2:3" hidden="1">
      <c r="B1103" s="61">
        <v>4646</v>
      </c>
      <c r="C1103" s="56" t="s">
        <v>186</v>
      </c>
    </row>
    <row r="1104" spans="2:3" hidden="1">
      <c r="B1104" s="61">
        <v>4645</v>
      </c>
      <c r="C1104" s="56" t="s">
        <v>186</v>
      </c>
    </row>
    <row r="1105" spans="2:3" hidden="1">
      <c r="B1105" s="61">
        <v>4637</v>
      </c>
      <c r="C1105" s="56" t="s">
        <v>186</v>
      </c>
    </row>
    <row r="1106" spans="2:3" hidden="1">
      <c r="B1106" s="61">
        <v>4636</v>
      </c>
      <c r="C1106" s="56" t="s">
        <v>186</v>
      </c>
    </row>
    <row r="1107" spans="2:3" hidden="1">
      <c r="B1107" s="61">
        <v>4635</v>
      </c>
      <c r="C1107" s="56" t="s">
        <v>186</v>
      </c>
    </row>
    <row r="1108" spans="2:3" hidden="1">
      <c r="B1108" s="61">
        <v>4627</v>
      </c>
      <c r="C1108" s="56" t="s">
        <v>186</v>
      </c>
    </row>
    <row r="1109" spans="2:3" hidden="1">
      <c r="B1109" s="61">
        <v>4626</v>
      </c>
      <c r="C1109" s="56" t="s">
        <v>186</v>
      </c>
    </row>
    <row r="1110" spans="2:3" hidden="1">
      <c r="B1110" s="61">
        <v>4625</v>
      </c>
      <c r="C1110" s="56" t="s">
        <v>186</v>
      </c>
    </row>
    <row r="1111" spans="2:3" hidden="1">
      <c r="B1111" s="61">
        <v>4617</v>
      </c>
      <c r="C1111" s="56" t="s">
        <v>186</v>
      </c>
    </row>
    <row r="1112" spans="2:3" hidden="1">
      <c r="B1112" s="61">
        <v>4616</v>
      </c>
      <c r="C1112" s="56" t="s">
        <v>186</v>
      </c>
    </row>
    <row r="1113" spans="2:3" hidden="1">
      <c r="B1113" s="61">
        <v>4615</v>
      </c>
      <c r="C1113" s="56" t="s">
        <v>186</v>
      </c>
    </row>
    <row r="1114" spans="2:3" hidden="1">
      <c r="B1114" s="61">
        <v>4537</v>
      </c>
      <c r="C1114" s="56" t="s">
        <v>186</v>
      </c>
    </row>
    <row r="1115" spans="2:3" hidden="1">
      <c r="B1115" s="61">
        <v>4536</v>
      </c>
      <c r="C1115" s="56" t="s">
        <v>186</v>
      </c>
    </row>
    <row r="1116" spans="2:3" hidden="1">
      <c r="B1116" s="61">
        <v>4535</v>
      </c>
      <c r="C1116" s="56" t="s">
        <v>186</v>
      </c>
    </row>
    <row r="1117" spans="2:3" hidden="1">
      <c r="B1117" s="61">
        <v>4527</v>
      </c>
      <c r="C1117" s="56" t="s">
        <v>186</v>
      </c>
    </row>
    <row r="1118" spans="2:3" hidden="1">
      <c r="B1118" s="61">
        <v>4526</v>
      </c>
      <c r="C1118" s="56" t="s">
        <v>186</v>
      </c>
    </row>
    <row r="1119" spans="2:3" hidden="1">
      <c r="B1119" s="61">
        <v>4525</v>
      </c>
      <c r="C1119" s="56" t="s">
        <v>186</v>
      </c>
    </row>
    <row r="1120" spans="2:3" hidden="1">
      <c r="B1120" s="61">
        <v>4517</v>
      </c>
      <c r="C1120" s="56" t="s">
        <v>186</v>
      </c>
    </row>
    <row r="1121" spans="2:3" hidden="1">
      <c r="B1121" s="61">
        <v>4516</v>
      </c>
      <c r="C1121" s="56" t="s">
        <v>186</v>
      </c>
    </row>
    <row r="1122" spans="2:3" hidden="1">
      <c r="B1122" s="61">
        <v>4515</v>
      </c>
      <c r="C1122" s="56" t="s">
        <v>186</v>
      </c>
    </row>
    <row r="1123" spans="2:3" hidden="1">
      <c r="B1123" s="61">
        <v>3737</v>
      </c>
      <c r="C1123" s="56" t="s">
        <v>186</v>
      </c>
    </row>
    <row r="1124" spans="2:3" hidden="1">
      <c r="B1124" s="61">
        <v>3736</v>
      </c>
      <c r="C1124" s="56" t="s">
        <v>186</v>
      </c>
    </row>
    <row r="1125" spans="2:3" hidden="1">
      <c r="B1125" s="61">
        <v>3735</v>
      </c>
      <c r="C1125" s="56" t="s">
        <v>186</v>
      </c>
    </row>
    <row r="1126" spans="2:3" hidden="1">
      <c r="B1126" s="61">
        <v>3727</v>
      </c>
      <c r="C1126" s="56" t="s">
        <v>186</v>
      </c>
    </row>
    <row r="1127" spans="2:3" hidden="1">
      <c r="B1127" s="61">
        <v>3726</v>
      </c>
      <c r="C1127" s="56" t="s">
        <v>186</v>
      </c>
    </row>
    <row r="1128" spans="2:3" hidden="1">
      <c r="B1128" s="61">
        <v>3725</v>
      </c>
      <c r="C1128" s="56" t="s">
        <v>186</v>
      </c>
    </row>
    <row r="1129" spans="2:3" hidden="1">
      <c r="B1129" s="61">
        <v>3717</v>
      </c>
      <c r="C1129" s="56" t="s">
        <v>186</v>
      </c>
    </row>
    <row r="1130" spans="2:3" hidden="1">
      <c r="B1130" s="61">
        <v>3716</v>
      </c>
      <c r="C1130" s="56" t="s">
        <v>186</v>
      </c>
    </row>
    <row r="1131" spans="2:3" hidden="1">
      <c r="B1131" s="61">
        <v>3715</v>
      </c>
      <c r="C1131" s="56" t="s">
        <v>186</v>
      </c>
    </row>
    <row r="1132" spans="2:3" hidden="1">
      <c r="B1132" s="61">
        <v>3637</v>
      </c>
      <c r="C1132" s="56" t="s">
        <v>186</v>
      </c>
    </row>
    <row r="1133" spans="2:3" hidden="1">
      <c r="B1133" s="61">
        <v>3636</v>
      </c>
      <c r="C1133" s="56" t="s">
        <v>186</v>
      </c>
    </row>
    <row r="1134" spans="2:3" hidden="1">
      <c r="B1134" s="61">
        <v>3635</v>
      </c>
      <c r="C1134" s="56" t="s">
        <v>186</v>
      </c>
    </row>
    <row r="1135" spans="2:3" hidden="1">
      <c r="B1135" s="61">
        <v>3627</v>
      </c>
      <c r="C1135" s="56" t="s">
        <v>186</v>
      </c>
    </row>
    <row r="1136" spans="2:3" hidden="1">
      <c r="B1136" s="61">
        <v>3626</v>
      </c>
      <c r="C1136" s="56" t="s">
        <v>186</v>
      </c>
    </row>
    <row r="1137" spans="2:3" hidden="1">
      <c r="B1137" s="61">
        <v>3625</v>
      </c>
      <c r="C1137" s="56" t="s">
        <v>186</v>
      </c>
    </row>
    <row r="1138" spans="2:3" hidden="1">
      <c r="B1138" s="61">
        <v>3617</v>
      </c>
      <c r="C1138" s="56" t="s">
        <v>186</v>
      </c>
    </row>
    <row r="1139" spans="2:3" hidden="1">
      <c r="B1139" s="61">
        <v>3616</v>
      </c>
      <c r="C1139" s="56" t="s">
        <v>186</v>
      </c>
    </row>
    <row r="1140" spans="2:3" hidden="1">
      <c r="B1140" s="61">
        <v>3615</v>
      </c>
      <c r="C1140" s="56" t="s">
        <v>186</v>
      </c>
    </row>
    <row r="1141" spans="2:3" hidden="1">
      <c r="B1141" s="61">
        <v>3537</v>
      </c>
      <c r="C1141" s="56" t="s">
        <v>186</v>
      </c>
    </row>
    <row r="1142" spans="2:3" hidden="1">
      <c r="B1142" s="61">
        <v>3536</v>
      </c>
      <c r="C1142" s="56" t="s">
        <v>186</v>
      </c>
    </row>
    <row r="1143" spans="2:3" hidden="1">
      <c r="B1143" s="61">
        <v>3535</v>
      </c>
      <c r="C1143" s="56" t="s">
        <v>186</v>
      </c>
    </row>
    <row r="1144" spans="2:3" hidden="1">
      <c r="B1144" s="61">
        <v>3527</v>
      </c>
      <c r="C1144" s="56" t="s">
        <v>186</v>
      </c>
    </row>
    <row r="1145" spans="2:3" hidden="1">
      <c r="B1145" s="61">
        <v>3526</v>
      </c>
      <c r="C1145" s="56" t="s">
        <v>186</v>
      </c>
    </row>
    <row r="1146" spans="2:3" hidden="1">
      <c r="B1146" s="61">
        <v>3525</v>
      </c>
      <c r="C1146" s="56" t="s">
        <v>186</v>
      </c>
    </row>
    <row r="1147" spans="2:3" hidden="1">
      <c r="B1147" s="61">
        <v>3517</v>
      </c>
      <c r="C1147" s="56" t="s">
        <v>186</v>
      </c>
    </row>
    <row r="1148" spans="2:3" hidden="1">
      <c r="B1148" s="61">
        <v>3516</v>
      </c>
      <c r="C1148" s="56" t="s">
        <v>186</v>
      </c>
    </row>
    <row r="1149" spans="2:3" hidden="1">
      <c r="B1149" s="61">
        <v>3515</v>
      </c>
      <c r="C1149" s="56" t="s">
        <v>186</v>
      </c>
    </row>
    <row r="1150" spans="2:3" hidden="1">
      <c r="B1150" s="61">
        <v>2737</v>
      </c>
      <c r="C1150" s="56" t="s">
        <v>186</v>
      </c>
    </row>
    <row r="1151" spans="2:3" hidden="1">
      <c r="B1151" s="61">
        <v>2736</v>
      </c>
      <c r="C1151" s="56" t="s">
        <v>186</v>
      </c>
    </row>
    <row r="1152" spans="2:3" hidden="1">
      <c r="B1152" s="61">
        <v>2735</v>
      </c>
      <c r="C1152" s="56" t="s">
        <v>186</v>
      </c>
    </row>
    <row r="1153" spans="2:3" hidden="1">
      <c r="B1153" s="61">
        <v>2727</v>
      </c>
      <c r="C1153" s="56" t="s">
        <v>186</v>
      </c>
    </row>
    <row r="1154" spans="2:3" hidden="1">
      <c r="B1154" s="61">
        <v>2726</v>
      </c>
      <c r="C1154" s="56" t="s">
        <v>186</v>
      </c>
    </row>
    <row r="1155" spans="2:3" hidden="1">
      <c r="B1155" s="61">
        <v>2725</v>
      </c>
      <c r="C1155" s="56" t="s">
        <v>186</v>
      </c>
    </row>
    <row r="1156" spans="2:3" hidden="1">
      <c r="B1156" s="61">
        <v>2717</v>
      </c>
      <c r="C1156" s="56" t="s">
        <v>186</v>
      </c>
    </row>
    <row r="1157" spans="2:3" hidden="1">
      <c r="B1157" s="61">
        <v>2716</v>
      </c>
      <c r="C1157" s="56" t="s">
        <v>186</v>
      </c>
    </row>
    <row r="1158" spans="2:3" hidden="1">
      <c r="B1158" s="61">
        <v>2715</v>
      </c>
      <c r="C1158" s="56" t="s">
        <v>186</v>
      </c>
    </row>
    <row r="1159" spans="2:3" hidden="1">
      <c r="B1159" s="61">
        <v>2637</v>
      </c>
      <c r="C1159" s="56" t="s">
        <v>186</v>
      </c>
    </row>
    <row r="1160" spans="2:3" hidden="1">
      <c r="B1160" s="61">
        <v>2636</v>
      </c>
      <c r="C1160" s="56" t="s">
        <v>186</v>
      </c>
    </row>
    <row r="1161" spans="2:3" hidden="1">
      <c r="B1161" s="61">
        <v>2635</v>
      </c>
      <c r="C1161" s="56" t="s">
        <v>186</v>
      </c>
    </row>
    <row r="1162" spans="2:3" hidden="1">
      <c r="B1162" s="61">
        <v>2627</v>
      </c>
      <c r="C1162" s="56" t="s">
        <v>186</v>
      </c>
    </row>
    <row r="1163" spans="2:3" hidden="1">
      <c r="B1163" s="61">
        <v>2626</v>
      </c>
      <c r="C1163" s="56" t="s">
        <v>186</v>
      </c>
    </row>
    <row r="1164" spans="2:3" hidden="1">
      <c r="B1164" s="61">
        <v>2625</v>
      </c>
      <c r="C1164" s="56" t="s">
        <v>186</v>
      </c>
    </row>
    <row r="1165" spans="2:3" hidden="1">
      <c r="B1165" s="61">
        <v>2617</v>
      </c>
      <c r="C1165" s="56" t="s">
        <v>186</v>
      </c>
    </row>
    <row r="1166" spans="2:3" hidden="1">
      <c r="B1166" s="61">
        <v>2616</v>
      </c>
      <c r="C1166" s="56" t="s">
        <v>186</v>
      </c>
    </row>
    <row r="1167" spans="2:3" hidden="1">
      <c r="B1167" s="61">
        <v>2615</v>
      </c>
      <c r="C1167" s="56" t="s">
        <v>186</v>
      </c>
    </row>
    <row r="1168" spans="2:3" hidden="1">
      <c r="B1168" s="61">
        <v>2537</v>
      </c>
      <c r="C1168" s="56" t="s">
        <v>186</v>
      </c>
    </row>
    <row r="1169" spans="2:3" hidden="1">
      <c r="B1169" s="61">
        <v>2536</v>
      </c>
      <c r="C1169" s="56" t="s">
        <v>186</v>
      </c>
    </row>
    <row r="1170" spans="2:3" hidden="1">
      <c r="B1170" s="61">
        <v>2535</v>
      </c>
      <c r="C1170" s="56" t="s">
        <v>186</v>
      </c>
    </row>
    <row r="1171" spans="2:3" hidden="1">
      <c r="B1171" s="61">
        <v>2527</v>
      </c>
      <c r="C1171" s="56" t="s">
        <v>186</v>
      </c>
    </row>
    <row r="1172" spans="2:3" hidden="1">
      <c r="B1172" s="61">
        <v>2526</v>
      </c>
      <c r="C1172" s="56" t="s">
        <v>186</v>
      </c>
    </row>
    <row r="1173" spans="2:3" hidden="1">
      <c r="B1173" s="61">
        <v>2525</v>
      </c>
      <c r="C1173" s="56" t="s">
        <v>186</v>
      </c>
    </row>
    <row r="1174" spans="2:3" hidden="1">
      <c r="B1174" s="61">
        <v>2517</v>
      </c>
      <c r="C1174" s="56" t="s">
        <v>186</v>
      </c>
    </row>
    <row r="1175" spans="2:3" hidden="1">
      <c r="B1175" s="61">
        <v>2516</v>
      </c>
      <c r="C1175" s="56" t="s">
        <v>186</v>
      </c>
    </row>
    <row r="1176" spans="2:3" hidden="1">
      <c r="B1176" s="61">
        <v>2515</v>
      </c>
      <c r="C1176" s="56" t="s">
        <v>186</v>
      </c>
    </row>
    <row r="1177" spans="2:3" hidden="1">
      <c r="B1177" s="61">
        <v>1737</v>
      </c>
      <c r="C1177" s="56" t="s">
        <v>186</v>
      </c>
    </row>
    <row r="1178" spans="2:3" hidden="1">
      <c r="B1178" s="61">
        <v>1736</v>
      </c>
      <c r="C1178" s="56" t="s">
        <v>186</v>
      </c>
    </row>
    <row r="1179" spans="2:3" hidden="1">
      <c r="B1179" s="61">
        <v>1735</v>
      </c>
      <c r="C1179" s="56" t="s">
        <v>186</v>
      </c>
    </row>
    <row r="1180" spans="2:3" hidden="1">
      <c r="B1180" s="61">
        <v>1727</v>
      </c>
      <c r="C1180" s="56" t="s">
        <v>186</v>
      </c>
    </row>
    <row r="1181" spans="2:3" hidden="1">
      <c r="B1181" s="61">
        <v>1726</v>
      </c>
      <c r="C1181" s="56" t="s">
        <v>186</v>
      </c>
    </row>
    <row r="1182" spans="2:3" hidden="1">
      <c r="B1182" s="61">
        <v>1725</v>
      </c>
      <c r="C1182" s="56" t="s">
        <v>186</v>
      </c>
    </row>
    <row r="1183" spans="2:3" hidden="1">
      <c r="B1183" s="61">
        <v>1717</v>
      </c>
      <c r="C1183" s="56" t="s">
        <v>186</v>
      </c>
    </row>
    <row r="1184" spans="2:3" hidden="1">
      <c r="B1184" s="61">
        <v>1716</v>
      </c>
      <c r="C1184" s="56" t="s">
        <v>186</v>
      </c>
    </row>
    <row r="1185" spans="2:3" hidden="1">
      <c r="B1185" s="61">
        <v>1715</v>
      </c>
      <c r="C1185" s="56" t="s">
        <v>186</v>
      </c>
    </row>
    <row r="1186" spans="2:3" hidden="1">
      <c r="B1186" s="61">
        <v>1637</v>
      </c>
      <c r="C1186" s="56" t="s">
        <v>186</v>
      </c>
    </row>
    <row r="1187" spans="2:3" hidden="1">
      <c r="B1187" s="61">
        <v>1636</v>
      </c>
      <c r="C1187" s="56" t="s">
        <v>186</v>
      </c>
    </row>
    <row r="1188" spans="2:3" hidden="1">
      <c r="B1188" s="61">
        <v>1635</v>
      </c>
      <c r="C1188" s="56" t="s">
        <v>186</v>
      </c>
    </row>
    <row r="1189" spans="2:3" hidden="1">
      <c r="B1189" s="61">
        <v>1627</v>
      </c>
      <c r="C1189" s="56" t="s">
        <v>186</v>
      </c>
    </row>
    <row r="1190" spans="2:3" hidden="1">
      <c r="B1190" s="61">
        <v>1626</v>
      </c>
      <c r="C1190" s="56" t="s">
        <v>186</v>
      </c>
    </row>
    <row r="1191" spans="2:3" hidden="1">
      <c r="B1191" s="61">
        <v>1625</v>
      </c>
      <c r="C1191" s="56" t="s">
        <v>186</v>
      </c>
    </row>
    <row r="1192" spans="2:3" hidden="1">
      <c r="B1192" s="61">
        <v>1617</v>
      </c>
      <c r="C1192" s="56" t="s">
        <v>186</v>
      </c>
    </row>
    <row r="1193" spans="2:3" hidden="1">
      <c r="B1193" s="61">
        <v>1616</v>
      </c>
      <c r="C1193" s="56" t="s">
        <v>186</v>
      </c>
    </row>
    <row r="1194" spans="2:3" hidden="1">
      <c r="B1194" s="61">
        <v>1615</v>
      </c>
      <c r="C1194" s="56" t="s">
        <v>186</v>
      </c>
    </row>
    <row r="1195" spans="2:3" hidden="1">
      <c r="B1195" s="61">
        <v>1537</v>
      </c>
      <c r="C1195" s="56" t="s">
        <v>186</v>
      </c>
    </row>
    <row r="1196" spans="2:3" hidden="1">
      <c r="B1196" s="61">
        <v>1536</v>
      </c>
      <c r="C1196" s="56" t="s">
        <v>186</v>
      </c>
    </row>
    <row r="1197" spans="2:3" hidden="1">
      <c r="B1197" s="61">
        <v>1535</v>
      </c>
      <c r="C1197" s="56" t="s">
        <v>186</v>
      </c>
    </row>
    <row r="1198" spans="2:3" hidden="1">
      <c r="B1198" s="61">
        <v>1527</v>
      </c>
      <c r="C1198" s="56" t="s">
        <v>186</v>
      </c>
    </row>
    <row r="1199" spans="2:3" hidden="1">
      <c r="B1199" s="61">
        <v>1526</v>
      </c>
      <c r="C1199" s="56" t="s">
        <v>186</v>
      </c>
    </row>
    <row r="1200" spans="2:3" hidden="1">
      <c r="B1200" s="61">
        <v>1525</v>
      </c>
      <c r="C1200" s="56" t="s">
        <v>186</v>
      </c>
    </row>
    <row r="1201" spans="2:3" hidden="1">
      <c r="B1201" s="61">
        <v>1517</v>
      </c>
      <c r="C1201" s="56" t="s">
        <v>186</v>
      </c>
    </row>
    <row r="1202" spans="2:3" hidden="1">
      <c r="B1202" s="61">
        <v>1516</v>
      </c>
      <c r="C1202" s="56" t="s">
        <v>186</v>
      </c>
    </row>
    <row r="1203" spans="2:3" hidden="1">
      <c r="B1203" s="61">
        <v>1515</v>
      </c>
      <c r="C1203" s="56" t="s">
        <v>186</v>
      </c>
    </row>
    <row r="1204" spans="2:3" hidden="1">
      <c r="B1204" s="61">
        <v>7477</v>
      </c>
      <c r="C1204" s="56" t="s">
        <v>189</v>
      </c>
    </row>
    <row r="1205" spans="2:3" hidden="1">
      <c r="B1205" s="61">
        <v>7476</v>
      </c>
      <c r="C1205" s="56" t="s">
        <v>189</v>
      </c>
    </row>
    <row r="1206" spans="2:3" hidden="1">
      <c r="B1206" s="61">
        <v>7475</v>
      </c>
      <c r="C1206" s="56" t="s">
        <v>189</v>
      </c>
    </row>
    <row r="1207" spans="2:3" hidden="1">
      <c r="B1207" s="61">
        <v>7467</v>
      </c>
      <c r="C1207" s="56" t="s">
        <v>189</v>
      </c>
    </row>
    <row r="1208" spans="2:3" hidden="1">
      <c r="B1208" s="61">
        <v>7466</v>
      </c>
      <c r="C1208" s="56" t="s">
        <v>189</v>
      </c>
    </row>
    <row r="1209" spans="2:3" hidden="1">
      <c r="B1209" s="61">
        <v>7465</v>
      </c>
      <c r="C1209" s="56" t="s">
        <v>189</v>
      </c>
    </row>
    <row r="1210" spans="2:3" hidden="1">
      <c r="B1210" s="61">
        <v>7457</v>
      </c>
      <c r="C1210" s="56" t="s">
        <v>189</v>
      </c>
    </row>
    <row r="1211" spans="2:3" hidden="1">
      <c r="B1211" s="61">
        <v>7456</v>
      </c>
      <c r="C1211" s="56" t="s">
        <v>189</v>
      </c>
    </row>
    <row r="1212" spans="2:3" hidden="1">
      <c r="B1212" s="61">
        <v>7455</v>
      </c>
      <c r="C1212" s="56" t="s">
        <v>189</v>
      </c>
    </row>
    <row r="1213" spans="2:3" hidden="1">
      <c r="B1213" s="61">
        <v>7377</v>
      </c>
      <c r="C1213" s="56" t="s">
        <v>189</v>
      </c>
    </row>
    <row r="1214" spans="2:3" hidden="1">
      <c r="B1214" s="61">
        <v>7376</v>
      </c>
      <c r="C1214" s="56" t="s">
        <v>189</v>
      </c>
    </row>
    <row r="1215" spans="2:3" hidden="1">
      <c r="B1215" s="61">
        <v>7375</v>
      </c>
      <c r="C1215" s="56" t="s">
        <v>189</v>
      </c>
    </row>
    <row r="1216" spans="2:3" hidden="1">
      <c r="B1216" s="61">
        <v>7367</v>
      </c>
      <c r="C1216" s="56" t="s">
        <v>189</v>
      </c>
    </row>
    <row r="1217" spans="2:3" hidden="1">
      <c r="B1217" s="61">
        <v>7366</v>
      </c>
      <c r="C1217" s="56" t="s">
        <v>189</v>
      </c>
    </row>
    <row r="1218" spans="2:3" hidden="1">
      <c r="B1218" s="61">
        <v>7365</v>
      </c>
      <c r="C1218" s="56" t="s">
        <v>189</v>
      </c>
    </row>
    <row r="1219" spans="2:3" hidden="1">
      <c r="B1219" s="61">
        <v>7357</v>
      </c>
      <c r="C1219" s="56" t="s">
        <v>189</v>
      </c>
    </row>
    <row r="1220" spans="2:3" hidden="1">
      <c r="B1220" s="61">
        <v>7356</v>
      </c>
      <c r="C1220" s="56" t="s">
        <v>189</v>
      </c>
    </row>
    <row r="1221" spans="2:3" hidden="1">
      <c r="B1221" s="61">
        <v>7355</v>
      </c>
      <c r="C1221" s="56" t="s">
        <v>189</v>
      </c>
    </row>
    <row r="1222" spans="2:3" hidden="1">
      <c r="B1222" s="61">
        <v>7277</v>
      </c>
      <c r="C1222" s="56" t="s">
        <v>189</v>
      </c>
    </row>
    <row r="1223" spans="2:3" hidden="1">
      <c r="B1223" s="61">
        <v>7276</v>
      </c>
      <c r="C1223" s="56" t="s">
        <v>189</v>
      </c>
    </row>
    <row r="1224" spans="2:3" hidden="1">
      <c r="B1224" s="61">
        <v>7275</v>
      </c>
      <c r="C1224" s="56" t="s">
        <v>189</v>
      </c>
    </row>
    <row r="1225" spans="2:3" hidden="1">
      <c r="B1225" s="61">
        <v>7267</v>
      </c>
      <c r="C1225" s="56" t="s">
        <v>189</v>
      </c>
    </row>
    <row r="1226" spans="2:3" hidden="1">
      <c r="B1226" s="61">
        <v>7266</v>
      </c>
      <c r="C1226" s="56" t="s">
        <v>189</v>
      </c>
    </row>
    <row r="1227" spans="2:3" hidden="1">
      <c r="B1227" s="61">
        <v>7265</v>
      </c>
      <c r="C1227" s="56" t="s">
        <v>189</v>
      </c>
    </row>
    <row r="1228" spans="2:3" hidden="1">
      <c r="B1228" s="61">
        <v>7257</v>
      </c>
      <c r="C1228" s="56" t="s">
        <v>189</v>
      </c>
    </row>
    <row r="1229" spans="2:3" hidden="1">
      <c r="B1229" s="61">
        <v>7256</v>
      </c>
      <c r="C1229" s="56" t="s">
        <v>189</v>
      </c>
    </row>
    <row r="1230" spans="2:3" hidden="1">
      <c r="B1230" s="61">
        <v>7255</v>
      </c>
      <c r="C1230" s="56" t="s">
        <v>189</v>
      </c>
    </row>
    <row r="1231" spans="2:3" hidden="1">
      <c r="B1231" s="61">
        <v>7177</v>
      </c>
      <c r="C1231" s="56" t="s">
        <v>189</v>
      </c>
    </row>
    <row r="1232" spans="2:3" hidden="1">
      <c r="B1232" s="61">
        <v>7176</v>
      </c>
      <c r="C1232" s="56" t="s">
        <v>189</v>
      </c>
    </row>
    <row r="1233" spans="2:3" hidden="1">
      <c r="B1233" s="61">
        <v>7175</v>
      </c>
      <c r="C1233" s="56" t="s">
        <v>189</v>
      </c>
    </row>
    <row r="1234" spans="2:3" hidden="1">
      <c r="B1234" s="61">
        <v>7167</v>
      </c>
      <c r="C1234" s="56" t="s">
        <v>189</v>
      </c>
    </row>
    <row r="1235" spans="2:3" hidden="1">
      <c r="B1235" s="61">
        <v>7166</v>
      </c>
      <c r="C1235" s="56" t="s">
        <v>189</v>
      </c>
    </row>
    <row r="1236" spans="2:3" hidden="1">
      <c r="B1236" s="61">
        <v>7165</v>
      </c>
      <c r="C1236" s="56" t="s">
        <v>189</v>
      </c>
    </row>
    <row r="1237" spans="2:3" hidden="1">
      <c r="B1237" s="61">
        <v>7157</v>
      </c>
      <c r="C1237" s="56" t="s">
        <v>189</v>
      </c>
    </row>
    <row r="1238" spans="2:3" hidden="1">
      <c r="B1238" s="61">
        <v>7156</v>
      </c>
      <c r="C1238" s="56" t="s">
        <v>189</v>
      </c>
    </row>
    <row r="1239" spans="2:3" hidden="1">
      <c r="B1239" s="61">
        <v>7155</v>
      </c>
      <c r="C1239" s="56" t="s">
        <v>189</v>
      </c>
    </row>
    <row r="1240" spans="2:3" hidden="1">
      <c r="B1240" s="61">
        <v>6477</v>
      </c>
      <c r="C1240" s="56" t="s">
        <v>189</v>
      </c>
    </row>
    <row r="1241" spans="2:3" hidden="1">
      <c r="B1241" s="61">
        <v>6476</v>
      </c>
      <c r="C1241" s="56" t="s">
        <v>189</v>
      </c>
    </row>
    <row r="1242" spans="2:3" hidden="1">
      <c r="B1242" s="61">
        <v>6475</v>
      </c>
      <c r="C1242" s="56" t="s">
        <v>189</v>
      </c>
    </row>
    <row r="1243" spans="2:3" hidden="1">
      <c r="B1243" s="61">
        <v>6467</v>
      </c>
      <c r="C1243" s="56" t="s">
        <v>189</v>
      </c>
    </row>
    <row r="1244" spans="2:3" hidden="1">
      <c r="B1244" s="61">
        <v>6466</v>
      </c>
      <c r="C1244" s="56" t="s">
        <v>189</v>
      </c>
    </row>
    <row r="1245" spans="2:3" hidden="1">
      <c r="B1245" s="61">
        <v>6465</v>
      </c>
      <c r="C1245" s="56" t="s">
        <v>189</v>
      </c>
    </row>
    <row r="1246" spans="2:3" hidden="1">
      <c r="B1246" s="61">
        <v>6457</v>
      </c>
      <c r="C1246" s="56" t="s">
        <v>189</v>
      </c>
    </row>
    <row r="1247" spans="2:3" hidden="1">
      <c r="B1247" s="61">
        <v>6456</v>
      </c>
      <c r="C1247" s="56" t="s">
        <v>189</v>
      </c>
    </row>
    <row r="1248" spans="2:3" hidden="1">
      <c r="B1248" s="61">
        <v>6455</v>
      </c>
      <c r="C1248" s="56" t="s">
        <v>189</v>
      </c>
    </row>
    <row r="1249" spans="2:3" hidden="1">
      <c r="B1249" s="61">
        <v>6377</v>
      </c>
      <c r="C1249" s="56" t="s">
        <v>189</v>
      </c>
    </row>
    <row r="1250" spans="2:3" hidden="1">
      <c r="B1250" s="61">
        <v>6376</v>
      </c>
      <c r="C1250" s="56" t="s">
        <v>189</v>
      </c>
    </row>
    <row r="1251" spans="2:3" hidden="1">
      <c r="B1251" s="61">
        <v>6375</v>
      </c>
      <c r="C1251" s="56" t="s">
        <v>189</v>
      </c>
    </row>
    <row r="1252" spans="2:3" hidden="1">
      <c r="B1252" s="61">
        <v>6367</v>
      </c>
      <c r="C1252" s="56" t="s">
        <v>189</v>
      </c>
    </row>
    <row r="1253" spans="2:3" hidden="1">
      <c r="B1253" s="61">
        <v>6366</v>
      </c>
      <c r="C1253" s="56" t="s">
        <v>189</v>
      </c>
    </row>
    <row r="1254" spans="2:3" hidden="1">
      <c r="B1254" s="61">
        <v>6365</v>
      </c>
      <c r="C1254" s="56" t="s">
        <v>189</v>
      </c>
    </row>
    <row r="1255" spans="2:3" hidden="1">
      <c r="B1255" s="61">
        <v>6357</v>
      </c>
      <c r="C1255" s="56" t="s">
        <v>189</v>
      </c>
    </row>
    <row r="1256" spans="2:3" hidden="1">
      <c r="B1256" s="61">
        <v>6356</v>
      </c>
      <c r="C1256" s="56" t="s">
        <v>189</v>
      </c>
    </row>
    <row r="1257" spans="2:3" hidden="1">
      <c r="B1257" s="61">
        <v>6355</v>
      </c>
      <c r="C1257" s="56" t="s">
        <v>189</v>
      </c>
    </row>
    <row r="1258" spans="2:3" hidden="1">
      <c r="B1258" s="61">
        <v>6277</v>
      </c>
      <c r="C1258" s="56" t="s">
        <v>189</v>
      </c>
    </row>
    <row r="1259" spans="2:3" hidden="1">
      <c r="B1259" s="61">
        <v>6276</v>
      </c>
      <c r="C1259" s="56" t="s">
        <v>189</v>
      </c>
    </row>
    <row r="1260" spans="2:3" hidden="1">
      <c r="B1260" s="61">
        <v>6275</v>
      </c>
      <c r="C1260" s="56" t="s">
        <v>189</v>
      </c>
    </row>
    <row r="1261" spans="2:3" hidden="1">
      <c r="B1261" s="61">
        <v>6267</v>
      </c>
      <c r="C1261" s="56" t="s">
        <v>189</v>
      </c>
    </row>
    <row r="1262" spans="2:3" hidden="1">
      <c r="B1262" s="61">
        <v>6266</v>
      </c>
      <c r="C1262" s="56" t="s">
        <v>189</v>
      </c>
    </row>
    <row r="1263" spans="2:3" hidden="1">
      <c r="B1263" s="61">
        <v>6265</v>
      </c>
      <c r="C1263" s="56" t="s">
        <v>189</v>
      </c>
    </row>
    <row r="1264" spans="2:3" hidden="1">
      <c r="B1264" s="61">
        <v>6257</v>
      </c>
      <c r="C1264" s="56" t="s">
        <v>189</v>
      </c>
    </row>
    <row r="1265" spans="2:3" hidden="1">
      <c r="B1265" s="61">
        <v>6256</v>
      </c>
      <c r="C1265" s="56" t="s">
        <v>189</v>
      </c>
    </row>
    <row r="1266" spans="2:3" hidden="1">
      <c r="B1266" s="61">
        <v>6255</v>
      </c>
      <c r="C1266" s="56" t="s">
        <v>189</v>
      </c>
    </row>
    <row r="1267" spans="2:3" hidden="1">
      <c r="B1267" s="61">
        <v>6177</v>
      </c>
      <c r="C1267" s="56" t="s">
        <v>189</v>
      </c>
    </row>
    <row r="1268" spans="2:3" hidden="1">
      <c r="B1268" s="61">
        <v>6176</v>
      </c>
      <c r="C1268" s="56" t="s">
        <v>189</v>
      </c>
    </row>
    <row r="1269" spans="2:3" hidden="1">
      <c r="B1269" s="61">
        <v>6175</v>
      </c>
      <c r="C1269" s="56" t="s">
        <v>189</v>
      </c>
    </row>
    <row r="1270" spans="2:3" hidden="1">
      <c r="B1270" s="61">
        <v>6167</v>
      </c>
      <c r="C1270" s="56" t="s">
        <v>189</v>
      </c>
    </row>
    <row r="1271" spans="2:3" hidden="1">
      <c r="B1271" s="61">
        <v>6166</v>
      </c>
      <c r="C1271" s="56" t="s">
        <v>189</v>
      </c>
    </row>
    <row r="1272" spans="2:3" hidden="1">
      <c r="B1272" s="61">
        <v>6165</v>
      </c>
      <c r="C1272" s="56" t="s">
        <v>189</v>
      </c>
    </row>
    <row r="1273" spans="2:3" hidden="1">
      <c r="B1273" s="61">
        <v>6157</v>
      </c>
      <c r="C1273" s="56" t="s">
        <v>189</v>
      </c>
    </row>
    <row r="1274" spans="2:3" hidden="1">
      <c r="B1274" s="61">
        <v>6156</v>
      </c>
      <c r="C1274" s="56" t="s">
        <v>189</v>
      </c>
    </row>
    <row r="1275" spans="2:3" hidden="1">
      <c r="B1275" s="61">
        <v>6155</v>
      </c>
      <c r="C1275" s="56" t="s">
        <v>189</v>
      </c>
    </row>
    <row r="1276" spans="2:3" hidden="1">
      <c r="B1276" s="61">
        <v>5477</v>
      </c>
      <c r="C1276" s="56" t="s">
        <v>189</v>
      </c>
    </row>
    <row r="1277" spans="2:3" hidden="1">
      <c r="B1277" s="61">
        <v>5476</v>
      </c>
      <c r="C1277" s="56" t="s">
        <v>189</v>
      </c>
    </row>
    <row r="1278" spans="2:3" hidden="1">
      <c r="B1278" s="61">
        <v>5475</v>
      </c>
      <c r="C1278" s="56" t="s">
        <v>189</v>
      </c>
    </row>
    <row r="1279" spans="2:3" hidden="1">
      <c r="B1279" s="61">
        <v>5467</v>
      </c>
      <c r="C1279" s="56" t="s">
        <v>189</v>
      </c>
    </row>
    <row r="1280" spans="2:3" hidden="1">
      <c r="B1280" s="61">
        <v>5466</v>
      </c>
      <c r="C1280" s="56" t="s">
        <v>189</v>
      </c>
    </row>
    <row r="1281" spans="2:3" hidden="1">
      <c r="B1281" s="61">
        <v>5465</v>
      </c>
      <c r="C1281" s="56" t="s">
        <v>189</v>
      </c>
    </row>
    <row r="1282" spans="2:3" hidden="1">
      <c r="B1282" s="61">
        <v>5457</v>
      </c>
      <c r="C1282" s="56" t="s">
        <v>189</v>
      </c>
    </row>
    <row r="1283" spans="2:3" hidden="1">
      <c r="B1283" s="61">
        <v>5456</v>
      </c>
      <c r="C1283" s="56" t="s">
        <v>189</v>
      </c>
    </row>
    <row r="1284" spans="2:3" hidden="1">
      <c r="B1284" s="61">
        <v>5455</v>
      </c>
      <c r="C1284" s="56" t="s">
        <v>189</v>
      </c>
    </row>
    <row r="1285" spans="2:3" hidden="1">
      <c r="B1285" s="61">
        <v>5377</v>
      </c>
      <c r="C1285" s="56" t="s">
        <v>189</v>
      </c>
    </row>
    <row r="1286" spans="2:3" hidden="1">
      <c r="B1286" s="61">
        <v>5376</v>
      </c>
      <c r="C1286" s="56" t="s">
        <v>189</v>
      </c>
    </row>
    <row r="1287" spans="2:3" hidden="1">
      <c r="B1287" s="61">
        <v>5375</v>
      </c>
      <c r="C1287" s="56" t="s">
        <v>189</v>
      </c>
    </row>
    <row r="1288" spans="2:3" hidden="1">
      <c r="B1288" s="61">
        <v>5367</v>
      </c>
      <c r="C1288" s="56" t="s">
        <v>189</v>
      </c>
    </row>
    <row r="1289" spans="2:3" hidden="1">
      <c r="B1289" s="61">
        <v>5366</v>
      </c>
      <c r="C1289" s="56" t="s">
        <v>189</v>
      </c>
    </row>
    <row r="1290" spans="2:3" hidden="1">
      <c r="B1290" s="61">
        <v>5365</v>
      </c>
      <c r="C1290" s="56" t="s">
        <v>189</v>
      </c>
    </row>
    <row r="1291" spans="2:3" hidden="1">
      <c r="B1291" s="61">
        <v>5357</v>
      </c>
      <c r="C1291" s="56" t="s">
        <v>189</v>
      </c>
    </row>
    <row r="1292" spans="2:3" hidden="1">
      <c r="B1292" s="61">
        <v>5356</v>
      </c>
      <c r="C1292" s="56" t="s">
        <v>189</v>
      </c>
    </row>
    <row r="1293" spans="2:3" hidden="1">
      <c r="B1293" s="61">
        <v>5355</v>
      </c>
      <c r="C1293" s="56" t="s">
        <v>189</v>
      </c>
    </row>
    <row r="1294" spans="2:3" hidden="1">
      <c r="B1294" s="61">
        <v>5277</v>
      </c>
      <c r="C1294" s="56" t="s">
        <v>189</v>
      </c>
    </row>
    <row r="1295" spans="2:3" hidden="1">
      <c r="B1295" s="61">
        <v>5276</v>
      </c>
      <c r="C1295" s="56" t="s">
        <v>189</v>
      </c>
    </row>
    <row r="1296" spans="2:3" hidden="1">
      <c r="B1296" s="61">
        <v>5275</v>
      </c>
      <c r="C1296" s="56" t="s">
        <v>189</v>
      </c>
    </row>
    <row r="1297" spans="2:3" hidden="1">
      <c r="B1297" s="61">
        <v>5267</v>
      </c>
      <c r="C1297" s="56" t="s">
        <v>189</v>
      </c>
    </row>
    <row r="1298" spans="2:3" hidden="1">
      <c r="B1298" s="61">
        <v>5266</v>
      </c>
      <c r="C1298" s="56" t="s">
        <v>189</v>
      </c>
    </row>
    <row r="1299" spans="2:3" hidden="1">
      <c r="B1299" s="61">
        <v>5265</v>
      </c>
      <c r="C1299" s="56" t="s">
        <v>189</v>
      </c>
    </row>
    <row r="1300" spans="2:3" hidden="1">
      <c r="B1300" s="61">
        <v>5257</v>
      </c>
      <c r="C1300" s="56" t="s">
        <v>189</v>
      </c>
    </row>
    <row r="1301" spans="2:3" hidden="1">
      <c r="B1301" s="61">
        <v>5256</v>
      </c>
      <c r="C1301" s="56" t="s">
        <v>189</v>
      </c>
    </row>
    <row r="1302" spans="2:3" hidden="1">
      <c r="B1302" s="61">
        <v>5255</v>
      </c>
      <c r="C1302" s="56" t="s">
        <v>189</v>
      </c>
    </row>
    <row r="1303" spans="2:3" hidden="1">
      <c r="B1303" s="61">
        <v>5177</v>
      </c>
      <c r="C1303" s="56" t="s">
        <v>189</v>
      </c>
    </row>
    <row r="1304" spans="2:3" hidden="1">
      <c r="B1304" s="61">
        <v>5176</v>
      </c>
      <c r="C1304" s="56" t="s">
        <v>189</v>
      </c>
    </row>
    <row r="1305" spans="2:3" hidden="1">
      <c r="B1305" s="61">
        <v>5175</v>
      </c>
      <c r="C1305" s="56" t="s">
        <v>189</v>
      </c>
    </row>
    <row r="1306" spans="2:3" hidden="1">
      <c r="B1306" s="61">
        <v>5167</v>
      </c>
      <c r="C1306" s="56" t="s">
        <v>189</v>
      </c>
    </row>
    <row r="1307" spans="2:3" hidden="1">
      <c r="B1307" s="61">
        <v>5166</v>
      </c>
      <c r="C1307" s="56" t="s">
        <v>189</v>
      </c>
    </row>
    <row r="1308" spans="2:3" hidden="1">
      <c r="B1308" s="61">
        <v>5165</v>
      </c>
      <c r="C1308" s="56" t="s">
        <v>189</v>
      </c>
    </row>
    <row r="1309" spans="2:3" hidden="1">
      <c r="B1309" s="61">
        <v>5157</v>
      </c>
      <c r="C1309" s="56" t="s">
        <v>189</v>
      </c>
    </row>
    <row r="1310" spans="2:3" hidden="1">
      <c r="B1310" s="61">
        <v>5156</v>
      </c>
      <c r="C1310" s="56" t="s">
        <v>189</v>
      </c>
    </row>
    <row r="1311" spans="2:3" hidden="1">
      <c r="B1311" s="61">
        <v>5155</v>
      </c>
      <c r="C1311" s="56" t="s">
        <v>189</v>
      </c>
    </row>
    <row r="1312" spans="2:3" hidden="1">
      <c r="B1312" s="61">
        <v>4447</v>
      </c>
      <c r="C1312" s="56" t="s">
        <v>187</v>
      </c>
    </row>
    <row r="1313" spans="2:3" hidden="1">
      <c r="B1313" s="61">
        <v>4446</v>
      </c>
      <c r="C1313" s="56" t="s">
        <v>187</v>
      </c>
    </row>
    <row r="1314" spans="2:3" hidden="1">
      <c r="B1314" s="61">
        <v>4437</v>
      </c>
      <c r="C1314" s="56" t="s">
        <v>187</v>
      </c>
    </row>
    <row r="1315" spans="2:3" hidden="1">
      <c r="B1315" s="61">
        <v>4436</v>
      </c>
      <c r="C1315" s="56" t="s">
        <v>187</v>
      </c>
    </row>
    <row r="1316" spans="2:3" hidden="1">
      <c r="B1316" s="61">
        <v>4435</v>
      </c>
      <c r="C1316" s="56" t="s">
        <v>187</v>
      </c>
    </row>
    <row r="1317" spans="2:3" hidden="1">
      <c r="B1317" s="61">
        <v>4427</v>
      </c>
      <c r="C1317" s="56" t="s">
        <v>187</v>
      </c>
    </row>
    <row r="1318" spans="2:3" hidden="1">
      <c r="B1318" s="61">
        <v>4426</v>
      </c>
      <c r="C1318" s="56" t="s">
        <v>187</v>
      </c>
    </row>
    <row r="1319" spans="2:3" hidden="1">
      <c r="B1319" s="61">
        <v>4425</v>
      </c>
      <c r="C1319" s="56" t="s">
        <v>187</v>
      </c>
    </row>
    <row r="1320" spans="2:3" hidden="1">
      <c r="B1320" s="61">
        <v>4417</v>
      </c>
      <c r="C1320" s="56" t="s">
        <v>187</v>
      </c>
    </row>
    <row r="1321" spans="2:3" hidden="1">
      <c r="B1321" s="61">
        <v>4416</v>
      </c>
      <c r="C1321" s="56" t="s">
        <v>187</v>
      </c>
    </row>
    <row r="1322" spans="2:3" hidden="1">
      <c r="B1322" s="61">
        <v>4415</v>
      </c>
      <c r="C1322" s="56" t="s">
        <v>187</v>
      </c>
    </row>
    <row r="1323" spans="2:3" hidden="1">
      <c r="B1323" s="61">
        <v>4347</v>
      </c>
      <c r="C1323" s="56" t="s">
        <v>187</v>
      </c>
    </row>
    <row r="1324" spans="2:3" hidden="1">
      <c r="B1324" s="61">
        <v>4346</v>
      </c>
      <c r="C1324" s="56" t="s">
        <v>187</v>
      </c>
    </row>
    <row r="1325" spans="2:3" hidden="1">
      <c r="B1325" s="61">
        <v>4345</v>
      </c>
      <c r="C1325" s="56" t="s">
        <v>187</v>
      </c>
    </row>
    <row r="1326" spans="2:3" hidden="1">
      <c r="B1326" s="61">
        <v>4337</v>
      </c>
      <c r="C1326" s="56" t="s">
        <v>187</v>
      </c>
    </row>
    <row r="1327" spans="2:3" hidden="1">
      <c r="B1327" s="61">
        <v>4336</v>
      </c>
      <c r="C1327" s="56" t="s">
        <v>187</v>
      </c>
    </row>
    <row r="1328" spans="2:3" hidden="1">
      <c r="B1328" s="61">
        <v>4335</v>
      </c>
      <c r="C1328" s="56" t="s">
        <v>187</v>
      </c>
    </row>
    <row r="1329" spans="2:3" hidden="1">
      <c r="B1329" s="61">
        <v>4327</v>
      </c>
      <c r="C1329" s="56" t="s">
        <v>187</v>
      </c>
    </row>
    <row r="1330" spans="2:3" hidden="1">
      <c r="B1330" s="61">
        <v>4326</v>
      </c>
      <c r="C1330" s="56" t="s">
        <v>187</v>
      </c>
    </row>
    <row r="1331" spans="2:3" hidden="1">
      <c r="B1331" s="61">
        <v>4325</v>
      </c>
      <c r="C1331" s="56" t="s">
        <v>187</v>
      </c>
    </row>
    <row r="1332" spans="2:3" hidden="1">
      <c r="B1332" s="61">
        <v>4317</v>
      </c>
      <c r="C1332" s="56" t="s">
        <v>187</v>
      </c>
    </row>
    <row r="1333" spans="2:3" hidden="1">
      <c r="B1333" s="61">
        <v>4316</v>
      </c>
      <c r="C1333" s="56" t="s">
        <v>187</v>
      </c>
    </row>
    <row r="1334" spans="2:3" hidden="1">
      <c r="B1334" s="61">
        <v>4315</v>
      </c>
      <c r="C1334" s="56" t="s">
        <v>187</v>
      </c>
    </row>
    <row r="1335" spans="2:3" hidden="1">
      <c r="B1335" s="61">
        <v>4247</v>
      </c>
      <c r="C1335" s="56" t="s">
        <v>187</v>
      </c>
    </row>
    <row r="1336" spans="2:3" hidden="1">
      <c r="B1336" s="61">
        <v>4246</v>
      </c>
      <c r="C1336" s="56" t="s">
        <v>187</v>
      </c>
    </row>
    <row r="1337" spans="2:3" hidden="1">
      <c r="B1337" s="61">
        <v>4245</v>
      </c>
      <c r="C1337" s="56" t="s">
        <v>187</v>
      </c>
    </row>
    <row r="1338" spans="2:3" hidden="1">
      <c r="B1338" s="61">
        <v>4237</v>
      </c>
      <c r="C1338" s="56" t="s">
        <v>187</v>
      </c>
    </row>
    <row r="1339" spans="2:3" hidden="1">
      <c r="B1339" s="61">
        <v>4236</v>
      </c>
      <c r="C1339" s="56" t="s">
        <v>187</v>
      </c>
    </row>
    <row r="1340" spans="2:3" hidden="1">
      <c r="B1340" s="61">
        <v>4235</v>
      </c>
      <c r="C1340" s="56" t="s">
        <v>187</v>
      </c>
    </row>
    <row r="1341" spans="2:3" hidden="1">
      <c r="B1341" s="61">
        <v>4227</v>
      </c>
      <c r="C1341" s="56" t="s">
        <v>187</v>
      </c>
    </row>
    <row r="1342" spans="2:3" hidden="1">
      <c r="B1342" s="61">
        <v>4226</v>
      </c>
      <c r="C1342" s="56" t="s">
        <v>187</v>
      </c>
    </row>
    <row r="1343" spans="2:3" hidden="1">
      <c r="B1343" s="61">
        <v>4225</v>
      </c>
      <c r="C1343" s="56" t="s">
        <v>187</v>
      </c>
    </row>
    <row r="1344" spans="2:3" hidden="1">
      <c r="B1344" s="61">
        <v>4217</v>
      </c>
      <c r="C1344" s="56" t="s">
        <v>187</v>
      </c>
    </row>
    <row r="1345" spans="2:3" hidden="1">
      <c r="B1345" s="61">
        <v>4216</v>
      </c>
      <c r="C1345" s="56" t="s">
        <v>187</v>
      </c>
    </row>
    <row r="1346" spans="2:3" hidden="1">
      <c r="B1346" s="61">
        <v>4215</v>
      </c>
      <c r="C1346" s="56" t="s">
        <v>187</v>
      </c>
    </row>
    <row r="1347" spans="2:3" hidden="1">
      <c r="B1347" s="61">
        <v>4147</v>
      </c>
      <c r="C1347" s="56" t="s">
        <v>187</v>
      </c>
    </row>
    <row r="1348" spans="2:3" hidden="1">
      <c r="B1348" s="61">
        <v>4146</v>
      </c>
      <c r="C1348" s="56" t="s">
        <v>187</v>
      </c>
    </row>
    <row r="1349" spans="2:3" hidden="1">
      <c r="B1349" s="61">
        <v>4145</v>
      </c>
      <c r="C1349" s="56" t="s">
        <v>187</v>
      </c>
    </row>
    <row r="1350" spans="2:3" hidden="1">
      <c r="B1350" s="61">
        <v>4137</v>
      </c>
      <c r="C1350" s="56" t="s">
        <v>187</v>
      </c>
    </row>
    <row r="1351" spans="2:3" hidden="1">
      <c r="B1351" s="61">
        <v>4136</v>
      </c>
      <c r="C1351" s="56" t="s">
        <v>187</v>
      </c>
    </row>
    <row r="1352" spans="2:3" hidden="1">
      <c r="B1352" s="61">
        <v>4135</v>
      </c>
      <c r="C1352" s="56" t="s">
        <v>187</v>
      </c>
    </row>
    <row r="1353" spans="2:3" hidden="1">
      <c r="B1353" s="61">
        <v>4127</v>
      </c>
      <c r="C1353" s="56" t="s">
        <v>187</v>
      </c>
    </row>
    <row r="1354" spans="2:3" hidden="1">
      <c r="B1354" s="61">
        <v>4126</v>
      </c>
      <c r="C1354" s="56" t="s">
        <v>187</v>
      </c>
    </row>
    <row r="1355" spans="2:3" hidden="1">
      <c r="B1355" s="61">
        <v>4125</v>
      </c>
      <c r="C1355" s="56" t="s">
        <v>187</v>
      </c>
    </row>
    <row r="1356" spans="2:3" hidden="1">
      <c r="B1356" s="61">
        <v>4117</v>
      </c>
      <c r="C1356" s="56" t="s">
        <v>187</v>
      </c>
    </row>
    <row r="1357" spans="2:3" hidden="1">
      <c r="B1357" s="61">
        <v>4116</v>
      </c>
      <c r="C1357" s="56" t="s">
        <v>187</v>
      </c>
    </row>
    <row r="1358" spans="2:3" hidden="1">
      <c r="B1358" s="61">
        <v>4115</v>
      </c>
      <c r="C1358" s="56" t="s">
        <v>187</v>
      </c>
    </row>
    <row r="1359" spans="2:3" hidden="1">
      <c r="B1359" s="61">
        <v>3447</v>
      </c>
      <c r="C1359" s="56" t="s">
        <v>187</v>
      </c>
    </row>
    <row r="1360" spans="2:3" hidden="1">
      <c r="B1360" s="61">
        <v>3446</v>
      </c>
      <c r="C1360" s="56" t="s">
        <v>187</v>
      </c>
    </row>
    <row r="1361" spans="2:3" hidden="1">
      <c r="B1361" s="61">
        <v>3445</v>
      </c>
      <c r="C1361" s="56" t="s">
        <v>187</v>
      </c>
    </row>
    <row r="1362" spans="2:3" hidden="1">
      <c r="B1362" s="61">
        <v>3437</v>
      </c>
      <c r="C1362" s="56" t="s">
        <v>187</v>
      </c>
    </row>
    <row r="1363" spans="2:3" hidden="1">
      <c r="B1363" s="61">
        <v>3436</v>
      </c>
      <c r="C1363" s="56" t="s">
        <v>187</v>
      </c>
    </row>
    <row r="1364" spans="2:3" hidden="1">
      <c r="B1364" s="61">
        <v>3435</v>
      </c>
      <c r="C1364" s="56" t="s">
        <v>187</v>
      </c>
    </row>
    <row r="1365" spans="2:3" hidden="1">
      <c r="B1365" s="61">
        <v>3427</v>
      </c>
      <c r="C1365" s="56" t="s">
        <v>187</v>
      </c>
    </row>
    <row r="1366" spans="2:3" hidden="1">
      <c r="B1366" s="61">
        <v>3426</v>
      </c>
      <c r="C1366" s="56" t="s">
        <v>187</v>
      </c>
    </row>
    <row r="1367" spans="2:3" hidden="1">
      <c r="B1367" s="61">
        <v>3425</v>
      </c>
      <c r="C1367" s="56" t="s">
        <v>187</v>
      </c>
    </row>
    <row r="1368" spans="2:3" hidden="1">
      <c r="B1368" s="61">
        <v>3417</v>
      </c>
      <c r="C1368" s="56" t="s">
        <v>187</v>
      </c>
    </row>
    <row r="1369" spans="2:3" hidden="1">
      <c r="B1369" s="61">
        <v>3416</v>
      </c>
      <c r="C1369" s="56" t="s">
        <v>187</v>
      </c>
    </row>
    <row r="1370" spans="2:3" hidden="1">
      <c r="B1370" s="61">
        <v>3415</v>
      </c>
      <c r="C1370" s="56" t="s">
        <v>187</v>
      </c>
    </row>
    <row r="1371" spans="2:3" hidden="1">
      <c r="B1371" s="61">
        <v>3347</v>
      </c>
      <c r="C1371" s="56" t="s">
        <v>187</v>
      </c>
    </row>
    <row r="1372" spans="2:3" hidden="1">
      <c r="B1372" s="61">
        <v>3346</v>
      </c>
      <c r="C1372" s="56" t="s">
        <v>187</v>
      </c>
    </row>
    <row r="1373" spans="2:3" hidden="1">
      <c r="B1373" s="61">
        <v>3345</v>
      </c>
      <c r="C1373" s="56" t="s">
        <v>187</v>
      </c>
    </row>
    <row r="1374" spans="2:3" hidden="1">
      <c r="B1374" s="61">
        <v>3337</v>
      </c>
      <c r="C1374" s="56" t="s">
        <v>187</v>
      </c>
    </row>
    <row r="1375" spans="2:3" hidden="1">
      <c r="B1375" s="61">
        <v>3336</v>
      </c>
      <c r="C1375" s="56" t="s">
        <v>187</v>
      </c>
    </row>
    <row r="1376" spans="2:3" hidden="1">
      <c r="B1376" s="61">
        <v>3335</v>
      </c>
      <c r="C1376" s="56" t="s">
        <v>187</v>
      </c>
    </row>
    <row r="1377" spans="2:3" hidden="1">
      <c r="B1377" s="61">
        <v>3327</v>
      </c>
      <c r="C1377" s="56" t="s">
        <v>187</v>
      </c>
    </row>
    <row r="1378" spans="2:3" hidden="1">
      <c r="B1378" s="61">
        <v>3326</v>
      </c>
      <c r="C1378" s="56" t="s">
        <v>187</v>
      </c>
    </row>
    <row r="1379" spans="2:3" hidden="1">
      <c r="B1379" s="61">
        <v>3325</v>
      </c>
      <c r="C1379" s="56" t="s">
        <v>187</v>
      </c>
    </row>
    <row r="1380" spans="2:3" hidden="1">
      <c r="B1380" s="61">
        <v>3317</v>
      </c>
      <c r="C1380" s="56" t="s">
        <v>187</v>
      </c>
    </row>
    <row r="1381" spans="2:3" hidden="1">
      <c r="B1381" s="61">
        <v>3316</v>
      </c>
      <c r="C1381" s="56" t="s">
        <v>187</v>
      </c>
    </row>
    <row r="1382" spans="2:3" hidden="1">
      <c r="B1382" s="61">
        <v>3315</v>
      </c>
      <c r="C1382" s="56" t="s">
        <v>187</v>
      </c>
    </row>
    <row r="1383" spans="2:3" hidden="1">
      <c r="B1383" s="61">
        <v>3247</v>
      </c>
      <c r="C1383" s="56" t="s">
        <v>187</v>
      </c>
    </row>
    <row r="1384" spans="2:3" hidden="1">
      <c r="B1384" s="61">
        <v>3246</v>
      </c>
      <c r="C1384" s="56" t="s">
        <v>187</v>
      </c>
    </row>
    <row r="1385" spans="2:3" hidden="1">
      <c r="B1385" s="61">
        <v>3245</v>
      </c>
      <c r="C1385" s="56" t="s">
        <v>187</v>
      </c>
    </row>
    <row r="1386" spans="2:3" hidden="1">
      <c r="B1386" s="61">
        <v>3237</v>
      </c>
      <c r="C1386" s="56" t="s">
        <v>187</v>
      </c>
    </row>
    <row r="1387" spans="2:3" hidden="1">
      <c r="B1387" s="61">
        <v>3236</v>
      </c>
      <c r="C1387" s="56" t="s">
        <v>187</v>
      </c>
    </row>
    <row r="1388" spans="2:3" hidden="1">
      <c r="B1388" s="61">
        <v>3235</v>
      </c>
      <c r="C1388" s="56" t="s">
        <v>187</v>
      </c>
    </row>
    <row r="1389" spans="2:3" hidden="1">
      <c r="B1389" s="61">
        <v>3227</v>
      </c>
      <c r="C1389" s="56" t="s">
        <v>187</v>
      </c>
    </row>
    <row r="1390" spans="2:3" hidden="1">
      <c r="B1390" s="61">
        <v>3226</v>
      </c>
      <c r="C1390" s="56" t="s">
        <v>187</v>
      </c>
    </row>
    <row r="1391" spans="2:3" hidden="1">
      <c r="B1391" s="61">
        <v>3225</v>
      </c>
      <c r="C1391" s="56" t="s">
        <v>187</v>
      </c>
    </row>
    <row r="1392" spans="2:3" hidden="1">
      <c r="B1392" s="61">
        <v>3217</v>
      </c>
      <c r="C1392" s="56" t="s">
        <v>187</v>
      </c>
    </row>
    <row r="1393" spans="2:3" hidden="1">
      <c r="B1393" s="61">
        <v>3216</v>
      </c>
      <c r="C1393" s="56" t="s">
        <v>187</v>
      </c>
    </row>
    <row r="1394" spans="2:3" hidden="1">
      <c r="B1394" s="61">
        <v>3215</v>
      </c>
      <c r="C1394" s="56" t="s">
        <v>187</v>
      </c>
    </row>
    <row r="1395" spans="2:3" hidden="1">
      <c r="B1395" s="61">
        <v>3147</v>
      </c>
      <c r="C1395" s="56" t="s">
        <v>187</v>
      </c>
    </row>
    <row r="1396" spans="2:3" hidden="1">
      <c r="B1396" s="61">
        <v>3146</v>
      </c>
      <c r="C1396" s="56" t="s">
        <v>187</v>
      </c>
    </row>
    <row r="1397" spans="2:3" hidden="1">
      <c r="B1397" s="61">
        <v>3145</v>
      </c>
      <c r="C1397" s="56" t="s">
        <v>187</v>
      </c>
    </row>
    <row r="1398" spans="2:3" hidden="1">
      <c r="B1398" s="61">
        <v>3137</v>
      </c>
      <c r="C1398" s="56" t="s">
        <v>187</v>
      </c>
    </row>
    <row r="1399" spans="2:3" hidden="1">
      <c r="B1399" s="61">
        <v>3136</v>
      </c>
      <c r="C1399" s="56" t="s">
        <v>187</v>
      </c>
    </row>
    <row r="1400" spans="2:3" hidden="1">
      <c r="B1400" s="61">
        <v>3135</v>
      </c>
      <c r="C1400" s="56" t="s">
        <v>187</v>
      </c>
    </row>
    <row r="1401" spans="2:3" hidden="1">
      <c r="B1401" s="61">
        <v>3127</v>
      </c>
      <c r="C1401" s="56" t="s">
        <v>187</v>
      </c>
    </row>
    <row r="1402" spans="2:3" hidden="1">
      <c r="B1402" s="61">
        <v>3126</v>
      </c>
      <c r="C1402" s="56" t="s">
        <v>187</v>
      </c>
    </row>
    <row r="1403" spans="2:3" hidden="1">
      <c r="B1403" s="61">
        <v>3125</v>
      </c>
      <c r="C1403" s="56" t="s">
        <v>187</v>
      </c>
    </row>
    <row r="1404" spans="2:3" hidden="1">
      <c r="B1404" s="61">
        <v>3117</v>
      </c>
      <c r="C1404" s="56" t="s">
        <v>187</v>
      </c>
    </row>
    <row r="1405" spans="2:3" hidden="1">
      <c r="B1405" s="61">
        <v>3116</v>
      </c>
      <c r="C1405" s="56" t="s">
        <v>187</v>
      </c>
    </row>
    <row r="1406" spans="2:3" hidden="1">
      <c r="B1406" s="61">
        <v>3115</v>
      </c>
      <c r="C1406" s="56" t="s">
        <v>187</v>
      </c>
    </row>
    <row r="1407" spans="2:3" hidden="1">
      <c r="B1407" s="61">
        <v>2447</v>
      </c>
      <c r="C1407" s="56" t="s">
        <v>187</v>
      </c>
    </row>
    <row r="1408" spans="2:3" hidden="1">
      <c r="B1408" s="61">
        <v>2446</v>
      </c>
      <c r="C1408" s="56" t="s">
        <v>187</v>
      </c>
    </row>
    <row r="1409" spans="2:3" hidden="1">
      <c r="B1409" s="61">
        <v>2445</v>
      </c>
      <c r="C1409" s="56" t="s">
        <v>187</v>
      </c>
    </row>
    <row r="1410" spans="2:3" hidden="1">
      <c r="B1410" s="61">
        <v>2437</v>
      </c>
      <c r="C1410" s="56" t="s">
        <v>187</v>
      </c>
    </row>
    <row r="1411" spans="2:3" hidden="1">
      <c r="B1411" s="61">
        <v>2436</v>
      </c>
      <c r="C1411" s="56" t="s">
        <v>187</v>
      </c>
    </row>
    <row r="1412" spans="2:3" hidden="1">
      <c r="B1412" s="61">
        <v>2435</v>
      </c>
      <c r="C1412" s="56" t="s">
        <v>187</v>
      </c>
    </row>
    <row r="1413" spans="2:3" hidden="1">
      <c r="B1413" s="61">
        <v>2427</v>
      </c>
      <c r="C1413" s="56" t="s">
        <v>187</v>
      </c>
    </row>
    <row r="1414" spans="2:3" hidden="1">
      <c r="B1414" s="61">
        <v>2426</v>
      </c>
      <c r="C1414" s="56" t="s">
        <v>187</v>
      </c>
    </row>
    <row r="1415" spans="2:3" hidden="1">
      <c r="B1415" s="61">
        <v>2425</v>
      </c>
      <c r="C1415" s="56" t="s">
        <v>187</v>
      </c>
    </row>
    <row r="1416" spans="2:3" hidden="1">
      <c r="B1416" s="61">
        <v>2417</v>
      </c>
      <c r="C1416" s="56" t="s">
        <v>187</v>
      </c>
    </row>
    <row r="1417" spans="2:3" hidden="1">
      <c r="B1417" s="61">
        <v>2416</v>
      </c>
      <c r="C1417" s="56" t="s">
        <v>187</v>
      </c>
    </row>
    <row r="1418" spans="2:3" hidden="1">
      <c r="B1418" s="61">
        <v>2415</v>
      </c>
      <c r="C1418" s="56" t="s">
        <v>187</v>
      </c>
    </row>
    <row r="1419" spans="2:3" hidden="1">
      <c r="B1419" s="61">
        <v>2347</v>
      </c>
      <c r="C1419" s="56" t="s">
        <v>187</v>
      </c>
    </row>
    <row r="1420" spans="2:3" hidden="1">
      <c r="B1420" s="61">
        <v>2346</v>
      </c>
      <c r="C1420" s="56" t="s">
        <v>187</v>
      </c>
    </row>
    <row r="1421" spans="2:3" hidden="1">
      <c r="B1421" s="61">
        <v>2345</v>
      </c>
      <c r="C1421" s="56" t="s">
        <v>187</v>
      </c>
    </row>
    <row r="1422" spans="2:3" hidden="1">
      <c r="B1422" s="61">
        <v>2337</v>
      </c>
      <c r="C1422" s="56" t="s">
        <v>187</v>
      </c>
    </row>
    <row r="1423" spans="2:3" hidden="1">
      <c r="B1423" s="61">
        <v>2336</v>
      </c>
      <c r="C1423" s="56" t="s">
        <v>187</v>
      </c>
    </row>
    <row r="1424" spans="2:3" hidden="1">
      <c r="B1424" s="61">
        <v>2335</v>
      </c>
      <c r="C1424" s="56" t="s">
        <v>187</v>
      </c>
    </row>
    <row r="1425" spans="2:3" hidden="1">
      <c r="B1425" s="61">
        <v>2327</v>
      </c>
      <c r="C1425" s="56" t="s">
        <v>187</v>
      </c>
    </row>
    <row r="1426" spans="2:3" hidden="1">
      <c r="B1426" s="61">
        <v>2326</v>
      </c>
      <c r="C1426" s="56" t="s">
        <v>187</v>
      </c>
    </row>
    <row r="1427" spans="2:3" hidden="1">
      <c r="B1427" s="61">
        <v>2325</v>
      </c>
      <c r="C1427" s="56" t="s">
        <v>187</v>
      </c>
    </row>
    <row r="1428" spans="2:3" hidden="1">
      <c r="B1428" s="61">
        <v>2317</v>
      </c>
      <c r="C1428" s="56" t="s">
        <v>187</v>
      </c>
    </row>
    <row r="1429" spans="2:3" hidden="1">
      <c r="B1429" s="61">
        <v>2316</v>
      </c>
      <c r="C1429" s="56" t="s">
        <v>187</v>
      </c>
    </row>
    <row r="1430" spans="2:3" hidden="1">
      <c r="B1430" s="61">
        <v>2315</v>
      </c>
      <c r="C1430" s="56" t="s">
        <v>187</v>
      </c>
    </row>
    <row r="1431" spans="2:3" hidden="1">
      <c r="B1431" s="61">
        <v>2247</v>
      </c>
      <c r="C1431" s="56" t="s">
        <v>187</v>
      </c>
    </row>
    <row r="1432" spans="2:3" hidden="1">
      <c r="B1432" s="61">
        <v>2246</v>
      </c>
      <c r="C1432" s="56" t="s">
        <v>187</v>
      </c>
    </row>
    <row r="1433" spans="2:3" hidden="1">
      <c r="B1433" s="61">
        <v>2245</v>
      </c>
      <c r="C1433" s="56" t="s">
        <v>187</v>
      </c>
    </row>
    <row r="1434" spans="2:3" hidden="1">
      <c r="B1434" s="61">
        <v>2237</v>
      </c>
      <c r="C1434" s="56" t="s">
        <v>187</v>
      </c>
    </row>
    <row r="1435" spans="2:3" hidden="1">
      <c r="B1435" s="61">
        <v>2236</v>
      </c>
      <c r="C1435" s="56" t="s">
        <v>187</v>
      </c>
    </row>
    <row r="1436" spans="2:3" hidden="1">
      <c r="B1436" s="61">
        <v>2235</v>
      </c>
      <c r="C1436" s="56" t="s">
        <v>187</v>
      </c>
    </row>
    <row r="1437" spans="2:3" hidden="1">
      <c r="B1437" s="61">
        <v>2227</v>
      </c>
      <c r="C1437" s="56" t="s">
        <v>187</v>
      </c>
    </row>
    <row r="1438" spans="2:3" hidden="1">
      <c r="B1438" s="61">
        <v>2226</v>
      </c>
      <c r="C1438" s="56" t="s">
        <v>187</v>
      </c>
    </row>
    <row r="1439" spans="2:3" hidden="1">
      <c r="B1439" s="61">
        <v>2225</v>
      </c>
      <c r="C1439" s="56" t="s">
        <v>187</v>
      </c>
    </row>
    <row r="1440" spans="2:3" hidden="1">
      <c r="B1440" s="61">
        <v>2217</v>
      </c>
      <c r="C1440" s="56" t="s">
        <v>187</v>
      </c>
    </row>
    <row r="1441" spans="2:3" hidden="1">
      <c r="B1441" s="61">
        <v>2216</v>
      </c>
      <c r="C1441" s="56" t="s">
        <v>187</v>
      </c>
    </row>
    <row r="1442" spans="2:3" hidden="1">
      <c r="B1442" s="61">
        <v>2215</v>
      </c>
      <c r="C1442" s="56" t="s">
        <v>187</v>
      </c>
    </row>
    <row r="1443" spans="2:3" hidden="1">
      <c r="B1443" s="61">
        <v>2147</v>
      </c>
      <c r="C1443" s="56" t="s">
        <v>187</v>
      </c>
    </row>
    <row r="1444" spans="2:3" hidden="1">
      <c r="B1444" s="61">
        <v>2146</v>
      </c>
      <c r="C1444" s="56" t="s">
        <v>187</v>
      </c>
    </row>
    <row r="1445" spans="2:3" hidden="1">
      <c r="B1445" s="61">
        <v>2145</v>
      </c>
      <c r="C1445" s="56" t="s">
        <v>187</v>
      </c>
    </row>
    <row r="1446" spans="2:3" hidden="1">
      <c r="B1446" s="61">
        <v>2137</v>
      </c>
      <c r="C1446" s="56" t="s">
        <v>187</v>
      </c>
    </row>
    <row r="1447" spans="2:3" hidden="1">
      <c r="B1447" s="61">
        <v>2136</v>
      </c>
      <c r="C1447" s="56" t="s">
        <v>187</v>
      </c>
    </row>
    <row r="1448" spans="2:3" hidden="1">
      <c r="B1448" s="61">
        <v>2135</v>
      </c>
      <c r="C1448" s="56" t="s">
        <v>187</v>
      </c>
    </row>
    <row r="1449" spans="2:3" hidden="1">
      <c r="B1449" s="61">
        <v>2127</v>
      </c>
      <c r="C1449" s="56" t="s">
        <v>187</v>
      </c>
    </row>
    <row r="1450" spans="2:3" hidden="1">
      <c r="B1450" s="61">
        <v>2126</v>
      </c>
      <c r="C1450" s="56" t="s">
        <v>187</v>
      </c>
    </row>
    <row r="1451" spans="2:3" hidden="1">
      <c r="B1451" s="61">
        <v>2125</v>
      </c>
      <c r="C1451" s="56" t="s">
        <v>187</v>
      </c>
    </row>
    <row r="1452" spans="2:3" hidden="1">
      <c r="B1452" s="61">
        <v>2117</v>
      </c>
      <c r="C1452" s="56" t="s">
        <v>187</v>
      </c>
    </row>
    <row r="1453" spans="2:3" hidden="1">
      <c r="B1453" s="61">
        <v>2116</v>
      </c>
      <c r="C1453" s="56" t="s">
        <v>187</v>
      </c>
    </row>
    <row r="1454" spans="2:3" hidden="1">
      <c r="B1454" s="61">
        <v>2115</v>
      </c>
      <c r="C1454" s="56" t="s">
        <v>187</v>
      </c>
    </row>
    <row r="1455" spans="2:3" hidden="1">
      <c r="B1455" s="61">
        <v>1447</v>
      </c>
      <c r="C1455" s="56" t="s">
        <v>187</v>
      </c>
    </row>
    <row r="1456" spans="2:3" hidden="1">
      <c r="B1456" s="61">
        <v>1446</v>
      </c>
      <c r="C1456" s="56" t="s">
        <v>187</v>
      </c>
    </row>
    <row r="1457" spans="2:3" hidden="1">
      <c r="B1457" s="61">
        <v>1445</v>
      </c>
      <c r="C1457" s="56" t="s">
        <v>187</v>
      </c>
    </row>
    <row r="1458" spans="2:3" hidden="1">
      <c r="B1458" s="61">
        <v>1437</v>
      </c>
      <c r="C1458" s="56" t="s">
        <v>187</v>
      </c>
    </row>
    <row r="1459" spans="2:3" hidden="1">
      <c r="B1459" s="61">
        <v>1436</v>
      </c>
      <c r="C1459" s="56" t="s">
        <v>187</v>
      </c>
    </row>
    <row r="1460" spans="2:3" hidden="1">
      <c r="B1460" s="61">
        <v>1435</v>
      </c>
      <c r="C1460" s="56" t="s">
        <v>187</v>
      </c>
    </row>
    <row r="1461" spans="2:3" hidden="1">
      <c r="B1461" s="61">
        <v>1427</v>
      </c>
      <c r="C1461" s="56" t="s">
        <v>187</v>
      </c>
    </row>
    <row r="1462" spans="2:3" hidden="1">
      <c r="B1462" s="61">
        <v>1426</v>
      </c>
      <c r="C1462" s="56" t="s">
        <v>187</v>
      </c>
    </row>
    <row r="1463" spans="2:3" hidden="1">
      <c r="B1463" s="61">
        <v>1425</v>
      </c>
      <c r="C1463" s="56" t="s">
        <v>187</v>
      </c>
    </row>
    <row r="1464" spans="2:3" hidden="1">
      <c r="B1464" s="61">
        <v>1417</v>
      </c>
      <c r="C1464" s="56" t="s">
        <v>187</v>
      </c>
    </row>
    <row r="1465" spans="2:3" hidden="1">
      <c r="B1465" s="61">
        <v>1416</v>
      </c>
      <c r="C1465" s="56" t="s">
        <v>187</v>
      </c>
    </row>
    <row r="1466" spans="2:3" hidden="1">
      <c r="B1466" s="61">
        <v>1415</v>
      </c>
      <c r="C1466" s="56" t="s">
        <v>187</v>
      </c>
    </row>
    <row r="1467" spans="2:3" hidden="1">
      <c r="B1467" s="61">
        <v>1347</v>
      </c>
      <c r="C1467" s="56" t="s">
        <v>187</v>
      </c>
    </row>
    <row r="1468" spans="2:3" hidden="1">
      <c r="B1468" s="61">
        <v>1346</v>
      </c>
      <c r="C1468" s="56" t="s">
        <v>187</v>
      </c>
    </row>
    <row r="1469" spans="2:3" hidden="1">
      <c r="B1469" s="61">
        <v>1345</v>
      </c>
      <c r="C1469" s="56" t="s">
        <v>187</v>
      </c>
    </row>
    <row r="1470" spans="2:3" hidden="1">
      <c r="B1470" s="61">
        <v>1337</v>
      </c>
      <c r="C1470" s="56" t="s">
        <v>187</v>
      </c>
    </row>
    <row r="1471" spans="2:3" hidden="1">
      <c r="B1471" s="61">
        <v>1336</v>
      </c>
      <c r="C1471" s="56" t="s">
        <v>187</v>
      </c>
    </row>
    <row r="1472" spans="2:3" hidden="1">
      <c r="B1472" s="61">
        <v>1335</v>
      </c>
      <c r="C1472" s="56" t="s">
        <v>187</v>
      </c>
    </row>
    <row r="1473" spans="2:3" hidden="1">
      <c r="B1473" s="61">
        <v>1327</v>
      </c>
      <c r="C1473" s="56" t="s">
        <v>187</v>
      </c>
    </row>
    <row r="1474" spans="2:3" hidden="1">
      <c r="B1474" s="61">
        <v>1326</v>
      </c>
      <c r="C1474" s="56" t="s">
        <v>187</v>
      </c>
    </row>
    <row r="1475" spans="2:3" hidden="1">
      <c r="B1475" s="61">
        <v>1325</v>
      </c>
      <c r="C1475" s="56" t="s">
        <v>187</v>
      </c>
    </row>
    <row r="1476" spans="2:3" hidden="1">
      <c r="B1476" s="61">
        <v>1317</v>
      </c>
      <c r="C1476" s="56" t="s">
        <v>187</v>
      </c>
    </row>
    <row r="1477" spans="2:3" hidden="1">
      <c r="B1477" s="61">
        <v>1316</v>
      </c>
      <c r="C1477" s="56" t="s">
        <v>187</v>
      </c>
    </row>
    <row r="1478" spans="2:3" hidden="1">
      <c r="B1478" s="61">
        <v>1315</v>
      </c>
      <c r="C1478" s="56" t="s">
        <v>187</v>
      </c>
    </row>
    <row r="1479" spans="2:3" hidden="1">
      <c r="B1479" s="61">
        <v>1247</v>
      </c>
      <c r="C1479" s="56" t="s">
        <v>187</v>
      </c>
    </row>
    <row r="1480" spans="2:3" hidden="1">
      <c r="B1480" s="61">
        <v>1246</v>
      </c>
      <c r="C1480" s="56" t="s">
        <v>187</v>
      </c>
    </row>
    <row r="1481" spans="2:3" hidden="1">
      <c r="B1481" s="61">
        <v>1245</v>
      </c>
      <c r="C1481" s="56" t="s">
        <v>187</v>
      </c>
    </row>
    <row r="1482" spans="2:3" hidden="1">
      <c r="B1482" s="61">
        <v>1237</v>
      </c>
      <c r="C1482" s="56" t="s">
        <v>187</v>
      </c>
    </row>
    <row r="1483" spans="2:3" hidden="1">
      <c r="B1483" s="61">
        <v>1236</v>
      </c>
      <c r="C1483" s="56" t="s">
        <v>187</v>
      </c>
    </row>
    <row r="1484" spans="2:3" hidden="1">
      <c r="B1484" s="61">
        <v>1235</v>
      </c>
      <c r="C1484" s="56" t="s">
        <v>187</v>
      </c>
    </row>
    <row r="1485" spans="2:3" hidden="1">
      <c r="B1485" s="61">
        <v>1227</v>
      </c>
      <c r="C1485" s="56" t="s">
        <v>187</v>
      </c>
    </row>
    <row r="1486" spans="2:3" hidden="1">
      <c r="B1486" s="61">
        <v>1226</v>
      </c>
      <c r="C1486" s="56" t="s">
        <v>187</v>
      </c>
    </row>
    <row r="1487" spans="2:3" hidden="1">
      <c r="B1487" s="61">
        <v>1225</v>
      </c>
      <c r="C1487" s="56" t="s">
        <v>187</v>
      </c>
    </row>
    <row r="1488" spans="2:3" hidden="1">
      <c r="B1488" s="61">
        <v>1217</v>
      </c>
      <c r="C1488" s="56" t="s">
        <v>187</v>
      </c>
    </row>
    <row r="1489" spans="2:3" hidden="1">
      <c r="B1489" s="61">
        <v>1216</v>
      </c>
      <c r="C1489" s="56" t="s">
        <v>187</v>
      </c>
    </row>
    <row r="1490" spans="2:3" hidden="1">
      <c r="B1490" s="61">
        <v>1215</v>
      </c>
      <c r="C1490" s="56" t="s">
        <v>187</v>
      </c>
    </row>
    <row r="1491" spans="2:3" hidden="1">
      <c r="B1491" s="61">
        <v>1147</v>
      </c>
      <c r="C1491" s="56" t="s">
        <v>187</v>
      </c>
    </row>
    <row r="1492" spans="2:3" hidden="1">
      <c r="B1492" s="61">
        <v>1146</v>
      </c>
      <c r="C1492" s="56" t="s">
        <v>187</v>
      </c>
    </row>
    <row r="1493" spans="2:3" hidden="1">
      <c r="B1493" s="61">
        <v>1145</v>
      </c>
      <c r="C1493" s="56" t="s">
        <v>187</v>
      </c>
    </row>
    <row r="1494" spans="2:3" hidden="1">
      <c r="B1494" s="61">
        <v>1137</v>
      </c>
      <c r="C1494" s="56" t="s">
        <v>187</v>
      </c>
    </row>
    <row r="1495" spans="2:3" hidden="1">
      <c r="B1495" s="61">
        <v>1136</v>
      </c>
      <c r="C1495" s="56" t="s">
        <v>187</v>
      </c>
    </row>
    <row r="1496" spans="2:3" hidden="1">
      <c r="B1496" s="61">
        <v>1135</v>
      </c>
      <c r="C1496" s="56" t="s">
        <v>187</v>
      </c>
    </row>
    <row r="1497" spans="2:3" hidden="1">
      <c r="B1497" s="61">
        <v>1127</v>
      </c>
      <c r="C1497" s="56" t="s">
        <v>187</v>
      </c>
    </row>
    <row r="1498" spans="2:3" hidden="1">
      <c r="B1498" s="61">
        <v>1126</v>
      </c>
      <c r="C1498" s="56" t="s">
        <v>187</v>
      </c>
    </row>
    <row r="1499" spans="2:3" hidden="1">
      <c r="B1499" s="61">
        <v>1125</v>
      </c>
      <c r="C1499" s="56" t="s">
        <v>187</v>
      </c>
    </row>
    <row r="1500" spans="2:3" hidden="1">
      <c r="B1500" s="61">
        <v>1117</v>
      </c>
      <c r="C1500" s="56" t="s">
        <v>187</v>
      </c>
    </row>
    <row r="1501" spans="2:3" hidden="1">
      <c r="B1501" s="61">
        <v>1116</v>
      </c>
      <c r="C1501" s="56" t="s">
        <v>187</v>
      </c>
    </row>
    <row r="1502" spans="2:3" hidden="1">
      <c r="B1502" s="61">
        <v>1115</v>
      </c>
      <c r="C1502" s="56" t="s">
        <v>187</v>
      </c>
    </row>
    <row r="1503" spans="2:3" hidden="1">
      <c r="B1503" s="61">
        <v>7554</v>
      </c>
      <c r="C1503" s="65" t="s">
        <v>171</v>
      </c>
    </row>
    <row r="1504" spans="2:3" hidden="1">
      <c r="B1504" s="61">
        <v>7553</v>
      </c>
      <c r="C1504" s="65" t="s">
        <v>171</v>
      </c>
    </row>
    <row r="1505" spans="2:3" hidden="1">
      <c r="B1505" s="61">
        <v>7552</v>
      </c>
      <c r="C1505" s="65" t="s">
        <v>171</v>
      </c>
    </row>
    <row r="1506" spans="2:3" hidden="1">
      <c r="B1506" s="61">
        <v>7551</v>
      </c>
      <c r="C1506" s="65" t="s">
        <v>171</v>
      </c>
    </row>
    <row r="1507" spans="2:3" hidden="1">
      <c r="B1507" s="61">
        <v>7544</v>
      </c>
      <c r="C1507" s="65" t="s">
        <v>171</v>
      </c>
    </row>
    <row r="1508" spans="2:3" hidden="1">
      <c r="B1508" s="61">
        <v>7543</v>
      </c>
      <c r="C1508" s="65" t="s">
        <v>171</v>
      </c>
    </row>
    <row r="1509" spans="2:3" hidden="1">
      <c r="B1509" s="61">
        <v>7542</v>
      </c>
      <c r="C1509" s="65" t="s">
        <v>171</v>
      </c>
    </row>
    <row r="1510" spans="2:3" hidden="1">
      <c r="B1510" s="61">
        <v>7541</v>
      </c>
      <c r="C1510" s="65" t="s">
        <v>171</v>
      </c>
    </row>
    <row r="1511" spans="2:3" hidden="1">
      <c r="B1511" s="61">
        <v>7534</v>
      </c>
      <c r="C1511" s="65" t="s">
        <v>171</v>
      </c>
    </row>
    <row r="1512" spans="2:3" hidden="1">
      <c r="B1512" s="61">
        <v>7533</v>
      </c>
      <c r="C1512" s="65" t="s">
        <v>171</v>
      </c>
    </row>
    <row r="1513" spans="2:3" hidden="1">
      <c r="B1513" s="61">
        <v>7532</v>
      </c>
      <c r="C1513" s="65" t="s">
        <v>171</v>
      </c>
    </row>
    <row r="1514" spans="2:3" hidden="1">
      <c r="B1514" s="61">
        <v>7531</v>
      </c>
      <c r="C1514" s="65" t="s">
        <v>171</v>
      </c>
    </row>
    <row r="1515" spans="2:3" hidden="1">
      <c r="B1515" s="61">
        <v>7524</v>
      </c>
      <c r="C1515" s="65" t="s">
        <v>171</v>
      </c>
    </row>
    <row r="1516" spans="2:3" hidden="1">
      <c r="B1516" s="61">
        <v>7523</v>
      </c>
      <c r="C1516" s="65" t="s">
        <v>171</v>
      </c>
    </row>
    <row r="1517" spans="2:3" hidden="1">
      <c r="B1517" s="61">
        <v>7522</v>
      </c>
      <c r="C1517" s="65" t="s">
        <v>171</v>
      </c>
    </row>
    <row r="1518" spans="2:3" hidden="1">
      <c r="B1518" s="61">
        <v>7521</v>
      </c>
      <c r="C1518" s="65" t="s">
        <v>171</v>
      </c>
    </row>
    <row r="1519" spans="2:3" hidden="1">
      <c r="B1519" s="61">
        <v>7514</v>
      </c>
      <c r="C1519" s="65" t="s">
        <v>171</v>
      </c>
    </row>
    <row r="1520" spans="2:3" hidden="1">
      <c r="B1520" s="61">
        <v>7513</v>
      </c>
      <c r="C1520" s="65" t="s">
        <v>171</v>
      </c>
    </row>
    <row r="1521" spans="2:3" hidden="1">
      <c r="B1521" s="61">
        <v>7512</v>
      </c>
      <c r="C1521" s="65" t="s">
        <v>171</v>
      </c>
    </row>
    <row r="1522" spans="2:3" hidden="1">
      <c r="B1522" s="61">
        <v>7511</v>
      </c>
      <c r="C1522" s="65" t="s">
        <v>171</v>
      </c>
    </row>
    <row r="1523" spans="2:3" hidden="1">
      <c r="B1523" s="61">
        <v>7444</v>
      </c>
      <c r="C1523" s="65" t="s">
        <v>171</v>
      </c>
    </row>
    <row r="1524" spans="2:3" hidden="1">
      <c r="B1524" s="61">
        <v>7443</v>
      </c>
      <c r="C1524" s="65" t="s">
        <v>171</v>
      </c>
    </row>
    <row r="1525" spans="2:3" hidden="1">
      <c r="B1525" s="61">
        <v>7442</v>
      </c>
      <c r="C1525" s="65" t="s">
        <v>171</v>
      </c>
    </row>
    <row r="1526" spans="2:3" hidden="1">
      <c r="B1526" s="61">
        <v>7441</v>
      </c>
      <c r="C1526" s="65" t="s">
        <v>171</v>
      </c>
    </row>
    <row r="1527" spans="2:3" hidden="1">
      <c r="B1527" s="61">
        <v>7434</v>
      </c>
      <c r="C1527" s="65" t="s">
        <v>171</v>
      </c>
    </row>
    <row r="1528" spans="2:3" hidden="1">
      <c r="B1528" s="61">
        <v>7433</v>
      </c>
      <c r="C1528" s="65" t="s">
        <v>171</v>
      </c>
    </row>
    <row r="1529" spans="2:3" hidden="1">
      <c r="B1529" s="61">
        <v>7432</v>
      </c>
      <c r="C1529" s="65" t="s">
        <v>171</v>
      </c>
    </row>
    <row r="1530" spans="2:3" hidden="1">
      <c r="B1530" s="61">
        <v>7431</v>
      </c>
      <c r="C1530" s="65" t="s">
        <v>171</v>
      </c>
    </row>
    <row r="1531" spans="2:3" hidden="1">
      <c r="B1531" s="61">
        <v>7424</v>
      </c>
      <c r="C1531" s="65" t="s">
        <v>171</v>
      </c>
    </row>
    <row r="1532" spans="2:3" hidden="1">
      <c r="B1532" s="61">
        <v>7423</v>
      </c>
      <c r="C1532" s="65" t="s">
        <v>171</v>
      </c>
    </row>
    <row r="1533" spans="2:3" hidden="1">
      <c r="B1533" s="61">
        <v>7422</v>
      </c>
      <c r="C1533" s="65" t="s">
        <v>171</v>
      </c>
    </row>
    <row r="1534" spans="2:3" hidden="1">
      <c r="B1534" s="61">
        <v>7421</v>
      </c>
      <c r="C1534" s="65" t="s">
        <v>171</v>
      </c>
    </row>
    <row r="1535" spans="2:3" hidden="1">
      <c r="B1535" s="61">
        <v>7414</v>
      </c>
      <c r="C1535" s="65" t="s">
        <v>171</v>
      </c>
    </row>
    <row r="1536" spans="2:3" hidden="1">
      <c r="B1536" s="61">
        <v>7413</v>
      </c>
      <c r="C1536" s="65" t="s">
        <v>171</v>
      </c>
    </row>
    <row r="1537" spans="2:3" hidden="1">
      <c r="B1537" s="61">
        <v>7412</v>
      </c>
      <c r="C1537" s="65" t="s">
        <v>171</v>
      </c>
    </row>
    <row r="1538" spans="2:3" hidden="1">
      <c r="B1538" s="61">
        <v>7411</v>
      </c>
      <c r="C1538" s="65" t="s">
        <v>171</v>
      </c>
    </row>
    <row r="1539" spans="2:3" hidden="1">
      <c r="B1539" s="61">
        <v>6554</v>
      </c>
      <c r="C1539" s="65" t="s">
        <v>171</v>
      </c>
    </row>
    <row r="1540" spans="2:3" hidden="1">
      <c r="B1540" s="61">
        <v>6553</v>
      </c>
      <c r="C1540" s="65" t="s">
        <v>171</v>
      </c>
    </row>
    <row r="1541" spans="2:3" hidden="1">
      <c r="B1541" s="61">
        <v>6552</v>
      </c>
      <c r="C1541" s="65" t="s">
        <v>171</v>
      </c>
    </row>
    <row r="1542" spans="2:3" hidden="1">
      <c r="B1542" s="61">
        <v>6551</v>
      </c>
      <c r="C1542" s="65" t="s">
        <v>171</v>
      </c>
    </row>
    <row r="1543" spans="2:3" hidden="1">
      <c r="B1543" s="61">
        <v>6544</v>
      </c>
      <c r="C1543" s="65" t="s">
        <v>171</v>
      </c>
    </row>
    <row r="1544" spans="2:3" hidden="1">
      <c r="B1544" s="61">
        <v>6543</v>
      </c>
      <c r="C1544" s="65" t="s">
        <v>171</v>
      </c>
    </row>
    <row r="1545" spans="2:3" hidden="1">
      <c r="B1545" s="61">
        <v>6542</v>
      </c>
      <c r="C1545" s="65" t="s">
        <v>171</v>
      </c>
    </row>
    <row r="1546" spans="2:3" hidden="1">
      <c r="B1546" s="61">
        <v>6541</v>
      </c>
      <c r="C1546" s="65" t="s">
        <v>171</v>
      </c>
    </row>
    <row r="1547" spans="2:3" hidden="1">
      <c r="B1547" s="61">
        <v>6534</v>
      </c>
      <c r="C1547" s="65" t="s">
        <v>171</v>
      </c>
    </row>
    <row r="1548" spans="2:3" hidden="1">
      <c r="B1548" s="61">
        <v>6533</v>
      </c>
      <c r="C1548" s="65" t="s">
        <v>171</v>
      </c>
    </row>
    <row r="1549" spans="2:3" hidden="1">
      <c r="B1549" s="61">
        <v>6532</v>
      </c>
      <c r="C1549" s="65" t="s">
        <v>171</v>
      </c>
    </row>
    <row r="1550" spans="2:3" hidden="1">
      <c r="B1550" s="61">
        <v>6531</v>
      </c>
      <c r="C1550" s="65" t="s">
        <v>171</v>
      </c>
    </row>
    <row r="1551" spans="2:3" hidden="1">
      <c r="B1551" s="61">
        <v>6524</v>
      </c>
      <c r="C1551" s="65" t="s">
        <v>171</v>
      </c>
    </row>
    <row r="1552" spans="2:3" hidden="1">
      <c r="B1552" s="61">
        <v>6523</v>
      </c>
      <c r="C1552" s="65" t="s">
        <v>171</v>
      </c>
    </row>
    <row r="1553" spans="2:3" hidden="1">
      <c r="B1553" s="61">
        <v>6522</v>
      </c>
      <c r="C1553" s="65" t="s">
        <v>171</v>
      </c>
    </row>
    <row r="1554" spans="2:3" hidden="1">
      <c r="B1554" s="61">
        <v>6521</v>
      </c>
      <c r="C1554" s="65" t="s">
        <v>171</v>
      </c>
    </row>
    <row r="1555" spans="2:3" hidden="1">
      <c r="B1555" s="61">
        <v>6514</v>
      </c>
      <c r="C1555" s="65" t="s">
        <v>171</v>
      </c>
    </row>
    <row r="1556" spans="2:3" hidden="1">
      <c r="B1556" s="61">
        <v>6513</v>
      </c>
      <c r="C1556" s="65" t="s">
        <v>171</v>
      </c>
    </row>
    <row r="1557" spans="2:3" hidden="1">
      <c r="B1557" s="61">
        <v>6512</v>
      </c>
      <c r="C1557" s="65" t="s">
        <v>171</v>
      </c>
    </row>
    <row r="1558" spans="2:3" hidden="1">
      <c r="B1558" s="61">
        <v>6511</v>
      </c>
      <c r="C1558" s="65" t="s">
        <v>171</v>
      </c>
    </row>
    <row r="1559" spans="2:3" hidden="1">
      <c r="B1559" s="61">
        <v>6444</v>
      </c>
      <c r="C1559" s="65" t="s">
        <v>171</v>
      </c>
    </row>
    <row r="1560" spans="2:3" hidden="1">
      <c r="B1560" s="61">
        <v>6443</v>
      </c>
      <c r="C1560" s="65" t="s">
        <v>171</v>
      </c>
    </row>
    <row r="1561" spans="2:3" hidden="1">
      <c r="B1561" s="61">
        <v>6442</v>
      </c>
      <c r="C1561" s="65" t="s">
        <v>171</v>
      </c>
    </row>
    <row r="1562" spans="2:3" hidden="1">
      <c r="B1562" s="61">
        <v>6441</v>
      </c>
      <c r="C1562" s="65" t="s">
        <v>171</v>
      </c>
    </row>
    <row r="1563" spans="2:3" hidden="1">
      <c r="B1563" s="61">
        <v>6434</v>
      </c>
      <c r="C1563" s="65" t="s">
        <v>171</v>
      </c>
    </row>
    <row r="1564" spans="2:3" hidden="1">
      <c r="B1564" s="61">
        <v>6433</v>
      </c>
      <c r="C1564" s="65" t="s">
        <v>171</v>
      </c>
    </row>
    <row r="1565" spans="2:3" hidden="1">
      <c r="B1565" s="61">
        <v>6432</v>
      </c>
      <c r="C1565" s="65" t="s">
        <v>171</v>
      </c>
    </row>
    <row r="1566" spans="2:3" hidden="1">
      <c r="B1566" s="61">
        <v>6431</v>
      </c>
      <c r="C1566" s="65" t="s">
        <v>171</v>
      </c>
    </row>
    <row r="1567" spans="2:3" hidden="1">
      <c r="B1567" s="61">
        <v>6424</v>
      </c>
      <c r="C1567" s="65" t="s">
        <v>171</v>
      </c>
    </row>
    <row r="1568" spans="2:3" hidden="1">
      <c r="B1568" s="61">
        <v>6423</v>
      </c>
      <c r="C1568" s="65" t="s">
        <v>171</v>
      </c>
    </row>
    <row r="1569" spans="2:3" hidden="1">
      <c r="B1569" s="61">
        <v>6422</v>
      </c>
      <c r="C1569" s="65" t="s">
        <v>171</v>
      </c>
    </row>
    <row r="1570" spans="2:3" hidden="1">
      <c r="B1570" s="61">
        <v>6421</v>
      </c>
      <c r="C1570" s="65" t="s">
        <v>171</v>
      </c>
    </row>
    <row r="1571" spans="2:3" hidden="1">
      <c r="B1571" s="61">
        <v>6414</v>
      </c>
      <c r="C1571" s="65" t="s">
        <v>171</v>
      </c>
    </row>
    <row r="1572" spans="2:3" hidden="1">
      <c r="B1572" s="61">
        <v>6413</v>
      </c>
      <c r="C1572" s="65" t="s">
        <v>171</v>
      </c>
    </row>
    <row r="1573" spans="2:3" hidden="1">
      <c r="B1573" s="61">
        <v>6412</v>
      </c>
      <c r="C1573" s="65" t="s">
        <v>171</v>
      </c>
    </row>
    <row r="1574" spans="2:3" hidden="1">
      <c r="B1574" s="61">
        <v>6411</v>
      </c>
      <c r="C1574" s="65" t="s">
        <v>171</v>
      </c>
    </row>
    <row r="1575" spans="2:3" hidden="1">
      <c r="B1575" s="61">
        <v>5443</v>
      </c>
      <c r="C1575" s="65" t="s">
        <v>171</v>
      </c>
    </row>
    <row r="1576" spans="2:3" hidden="1">
      <c r="B1576" s="61">
        <v>5442</v>
      </c>
      <c r="C1576" s="65" t="s">
        <v>171</v>
      </c>
    </row>
    <row r="1577" spans="2:3" hidden="1">
      <c r="B1577" s="61">
        <v>5441</v>
      </c>
      <c r="C1577" s="65" t="s">
        <v>171</v>
      </c>
    </row>
    <row r="1578" spans="2:3" hidden="1">
      <c r="B1578" s="61">
        <v>5434</v>
      </c>
      <c r="C1578" s="65" t="s">
        <v>171</v>
      </c>
    </row>
    <row r="1579" spans="2:3" hidden="1">
      <c r="B1579" s="61">
        <v>5433</v>
      </c>
      <c r="C1579" s="65" t="s">
        <v>171</v>
      </c>
    </row>
    <row r="1580" spans="2:3" hidden="1">
      <c r="B1580" s="61">
        <v>5432</v>
      </c>
      <c r="C1580" s="65" t="s">
        <v>171</v>
      </c>
    </row>
    <row r="1581" spans="2:3" hidden="1">
      <c r="B1581" s="61">
        <v>5431</v>
      </c>
      <c r="C1581" s="65" t="s">
        <v>171</v>
      </c>
    </row>
    <row r="1582" spans="2:3" hidden="1">
      <c r="B1582" s="61">
        <v>5424</v>
      </c>
      <c r="C1582" s="65" t="s">
        <v>171</v>
      </c>
    </row>
    <row r="1583" spans="2:3" hidden="1">
      <c r="B1583" s="61">
        <v>5423</v>
      </c>
      <c r="C1583" s="65" t="s">
        <v>171</v>
      </c>
    </row>
    <row r="1584" spans="2:3" hidden="1">
      <c r="B1584" s="61">
        <v>5422</v>
      </c>
      <c r="C1584" s="65" t="s">
        <v>171</v>
      </c>
    </row>
    <row r="1585" spans="2:3" hidden="1">
      <c r="B1585" s="61">
        <v>5421</v>
      </c>
      <c r="C1585" s="65" t="s">
        <v>171</v>
      </c>
    </row>
    <row r="1586" spans="2:3" hidden="1">
      <c r="B1586" s="61">
        <v>5414</v>
      </c>
      <c r="C1586" s="65" t="s">
        <v>171</v>
      </c>
    </row>
    <row r="1587" spans="2:3" hidden="1">
      <c r="B1587" s="61">
        <v>5413</v>
      </c>
      <c r="C1587" s="65" t="s">
        <v>171</v>
      </c>
    </row>
    <row r="1588" spans="2:3" hidden="1">
      <c r="B1588" s="61">
        <v>5412</v>
      </c>
      <c r="C1588" s="65" t="s">
        <v>171</v>
      </c>
    </row>
    <row r="1589" spans="2:3" hidden="1">
      <c r="B1589" s="61">
        <v>5411</v>
      </c>
      <c r="C1589" s="65" t="s">
        <v>171</v>
      </c>
    </row>
    <row r="1590" spans="2:3" hidden="1">
      <c r="B1590" s="61">
        <v>4477</v>
      </c>
      <c r="C1590" s="56" t="s">
        <v>14</v>
      </c>
    </row>
    <row r="1591" spans="2:3" hidden="1">
      <c r="B1591" s="61">
        <v>4476</v>
      </c>
      <c r="C1591" s="56" t="s">
        <v>14</v>
      </c>
    </row>
    <row r="1592" spans="2:3" hidden="1">
      <c r="B1592" s="61">
        <v>4475</v>
      </c>
      <c r="C1592" s="56" t="s">
        <v>14</v>
      </c>
    </row>
    <row r="1593" spans="2:3" hidden="1">
      <c r="B1593" s="61">
        <v>4467</v>
      </c>
      <c r="C1593" s="56" t="s">
        <v>14</v>
      </c>
    </row>
    <row r="1594" spans="2:3" hidden="1">
      <c r="B1594" s="61">
        <v>4466</v>
      </c>
      <c r="C1594" s="56" t="s">
        <v>14</v>
      </c>
    </row>
    <row r="1595" spans="2:3" hidden="1">
      <c r="B1595" s="61">
        <v>4465</v>
      </c>
      <c r="C1595" s="56" t="s">
        <v>14</v>
      </c>
    </row>
    <row r="1596" spans="2:3" hidden="1">
      <c r="B1596" s="61">
        <v>4457</v>
      </c>
      <c r="C1596" s="56" t="s">
        <v>14</v>
      </c>
    </row>
    <row r="1597" spans="2:3" hidden="1">
      <c r="B1597" s="61">
        <v>4456</v>
      </c>
      <c r="C1597" s="56" t="s">
        <v>14</v>
      </c>
    </row>
    <row r="1598" spans="2:3" hidden="1">
      <c r="B1598" s="61">
        <v>4377</v>
      </c>
      <c r="C1598" s="56" t="s">
        <v>14</v>
      </c>
    </row>
    <row r="1599" spans="2:3" hidden="1">
      <c r="B1599" s="61">
        <v>4376</v>
      </c>
      <c r="C1599" s="56" t="s">
        <v>14</v>
      </c>
    </row>
    <row r="1600" spans="2:3" hidden="1">
      <c r="B1600" s="61">
        <v>4375</v>
      </c>
      <c r="C1600" s="56" t="s">
        <v>14</v>
      </c>
    </row>
    <row r="1601" spans="2:3" hidden="1">
      <c r="B1601" s="61">
        <v>4367</v>
      </c>
      <c r="C1601" s="56" t="s">
        <v>14</v>
      </c>
    </row>
    <row r="1602" spans="2:3" hidden="1">
      <c r="B1602" s="61">
        <v>4366</v>
      </c>
      <c r="C1602" s="56" t="s">
        <v>14</v>
      </c>
    </row>
    <row r="1603" spans="2:3" hidden="1">
      <c r="B1603" s="61">
        <v>4365</v>
      </c>
      <c r="C1603" s="56" t="s">
        <v>14</v>
      </c>
    </row>
    <row r="1604" spans="2:3" hidden="1">
      <c r="B1604" s="61">
        <v>4357</v>
      </c>
      <c r="C1604" s="56" t="s">
        <v>14</v>
      </c>
    </row>
    <row r="1605" spans="2:3" hidden="1">
      <c r="B1605" s="61">
        <v>4356</v>
      </c>
      <c r="C1605" s="56" t="s">
        <v>14</v>
      </c>
    </row>
    <row r="1606" spans="2:3" hidden="1">
      <c r="B1606" s="61">
        <v>4355</v>
      </c>
      <c r="C1606" s="56" t="s">
        <v>14</v>
      </c>
    </row>
    <row r="1607" spans="2:3" hidden="1">
      <c r="B1607" s="61">
        <v>4277</v>
      </c>
      <c r="C1607" s="56" t="s">
        <v>14</v>
      </c>
    </row>
    <row r="1608" spans="2:3" hidden="1">
      <c r="B1608" s="61">
        <v>4276</v>
      </c>
      <c r="C1608" s="56" t="s">
        <v>14</v>
      </c>
    </row>
    <row r="1609" spans="2:3" hidden="1">
      <c r="B1609" s="61">
        <v>4275</v>
      </c>
      <c r="C1609" s="56" t="s">
        <v>14</v>
      </c>
    </row>
    <row r="1610" spans="2:3" hidden="1">
      <c r="B1610" s="61">
        <v>4267</v>
      </c>
      <c r="C1610" s="56" t="s">
        <v>14</v>
      </c>
    </row>
    <row r="1611" spans="2:3" hidden="1">
      <c r="B1611" s="61">
        <v>4266</v>
      </c>
      <c r="C1611" s="56" t="s">
        <v>14</v>
      </c>
    </row>
    <row r="1612" spans="2:3" hidden="1">
      <c r="B1612" s="61">
        <v>4265</v>
      </c>
      <c r="C1612" s="56" t="s">
        <v>14</v>
      </c>
    </row>
    <row r="1613" spans="2:3" hidden="1">
      <c r="B1613" s="61">
        <v>4257</v>
      </c>
      <c r="C1613" s="56" t="s">
        <v>14</v>
      </c>
    </row>
    <row r="1614" spans="2:3" hidden="1">
      <c r="B1614" s="61">
        <v>4256</v>
      </c>
      <c r="C1614" s="56" t="s">
        <v>14</v>
      </c>
    </row>
    <row r="1615" spans="2:3" hidden="1">
      <c r="B1615" s="61">
        <v>4255</v>
      </c>
      <c r="C1615" s="56" t="s">
        <v>14</v>
      </c>
    </row>
    <row r="1616" spans="2:3" hidden="1">
      <c r="B1616" s="61">
        <v>4177</v>
      </c>
      <c r="C1616" s="56" t="s">
        <v>14</v>
      </c>
    </row>
    <row r="1617" spans="2:3" hidden="1">
      <c r="B1617" s="61">
        <v>4176</v>
      </c>
      <c r="C1617" s="56" t="s">
        <v>14</v>
      </c>
    </row>
    <row r="1618" spans="2:3" hidden="1">
      <c r="B1618" s="61">
        <v>4175</v>
      </c>
      <c r="C1618" s="56" t="s">
        <v>14</v>
      </c>
    </row>
    <row r="1619" spans="2:3" hidden="1">
      <c r="B1619" s="61">
        <v>4167</v>
      </c>
      <c r="C1619" s="56" t="s">
        <v>14</v>
      </c>
    </row>
    <row r="1620" spans="2:3" hidden="1">
      <c r="B1620" s="61">
        <v>4166</v>
      </c>
      <c r="C1620" s="56" t="s">
        <v>14</v>
      </c>
    </row>
    <row r="1621" spans="2:3" hidden="1">
      <c r="B1621" s="61">
        <v>4165</v>
      </c>
      <c r="C1621" s="56" t="s">
        <v>14</v>
      </c>
    </row>
    <row r="1622" spans="2:3" hidden="1">
      <c r="B1622" s="61">
        <v>4157</v>
      </c>
      <c r="C1622" s="56" t="s">
        <v>14</v>
      </c>
    </row>
    <row r="1623" spans="2:3" hidden="1">
      <c r="B1623" s="61">
        <v>4156</v>
      </c>
      <c r="C1623" s="56" t="s">
        <v>14</v>
      </c>
    </row>
    <row r="1624" spans="2:3" hidden="1">
      <c r="B1624" s="61">
        <v>4155</v>
      </c>
      <c r="C1624" s="56" t="s">
        <v>14</v>
      </c>
    </row>
    <row r="1625" spans="2:3" hidden="1">
      <c r="B1625" s="61">
        <v>3477</v>
      </c>
      <c r="C1625" s="56" t="s">
        <v>14</v>
      </c>
    </row>
    <row r="1626" spans="2:3" hidden="1">
      <c r="B1626" s="61">
        <v>3476</v>
      </c>
      <c r="C1626" s="56" t="s">
        <v>14</v>
      </c>
    </row>
    <row r="1627" spans="2:3" hidden="1">
      <c r="B1627" s="61">
        <v>3475</v>
      </c>
      <c r="C1627" s="56" t="s">
        <v>14</v>
      </c>
    </row>
    <row r="1628" spans="2:3" hidden="1">
      <c r="B1628" s="61">
        <v>3467</v>
      </c>
      <c r="C1628" s="56" t="s">
        <v>14</v>
      </c>
    </row>
    <row r="1629" spans="2:3" hidden="1">
      <c r="B1629" s="61">
        <v>3466</v>
      </c>
      <c r="C1629" s="56" t="s">
        <v>14</v>
      </c>
    </row>
    <row r="1630" spans="2:3" hidden="1">
      <c r="B1630" s="61">
        <v>3465</v>
      </c>
      <c r="C1630" s="56" t="s">
        <v>14</v>
      </c>
    </row>
    <row r="1631" spans="2:3" hidden="1">
      <c r="B1631" s="61">
        <v>3457</v>
      </c>
      <c r="C1631" s="56" t="s">
        <v>14</v>
      </c>
    </row>
    <row r="1632" spans="2:3" hidden="1">
      <c r="B1632" s="61">
        <v>3456</v>
      </c>
      <c r="C1632" s="56" t="s">
        <v>14</v>
      </c>
    </row>
    <row r="1633" spans="2:3" hidden="1">
      <c r="B1633" s="61">
        <v>3455</v>
      </c>
      <c r="C1633" s="56" t="s">
        <v>14</v>
      </c>
    </row>
    <row r="1634" spans="2:3" hidden="1">
      <c r="B1634" s="61">
        <v>3377</v>
      </c>
      <c r="C1634" s="56" t="s">
        <v>14</v>
      </c>
    </row>
    <row r="1635" spans="2:3" hidden="1">
      <c r="B1635" s="61">
        <v>3376</v>
      </c>
      <c r="C1635" s="56" t="s">
        <v>14</v>
      </c>
    </row>
    <row r="1636" spans="2:3" hidden="1">
      <c r="B1636" s="61">
        <v>3375</v>
      </c>
      <c r="C1636" s="56" t="s">
        <v>14</v>
      </c>
    </row>
    <row r="1637" spans="2:3" hidden="1">
      <c r="B1637" s="61">
        <v>3367</v>
      </c>
      <c r="C1637" s="56" t="s">
        <v>14</v>
      </c>
    </row>
    <row r="1638" spans="2:3" hidden="1">
      <c r="B1638" s="61">
        <v>3366</v>
      </c>
      <c r="C1638" s="56" t="s">
        <v>14</v>
      </c>
    </row>
    <row r="1639" spans="2:3" hidden="1">
      <c r="B1639" s="61">
        <v>3365</v>
      </c>
      <c r="C1639" s="56" t="s">
        <v>14</v>
      </c>
    </row>
    <row r="1640" spans="2:3" hidden="1">
      <c r="B1640" s="61">
        <v>3357</v>
      </c>
      <c r="C1640" s="56" t="s">
        <v>14</v>
      </c>
    </row>
    <row r="1641" spans="2:3" hidden="1">
      <c r="B1641" s="61">
        <v>3356</v>
      </c>
      <c r="C1641" s="56" t="s">
        <v>14</v>
      </c>
    </row>
    <row r="1642" spans="2:3" hidden="1">
      <c r="B1642" s="61">
        <v>3355</v>
      </c>
      <c r="C1642" s="56" t="s">
        <v>14</v>
      </c>
    </row>
    <row r="1643" spans="2:3" hidden="1">
      <c r="B1643" s="61">
        <v>3277</v>
      </c>
      <c r="C1643" s="56" t="s">
        <v>14</v>
      </c>
    </row>
    <row r="1644" spans="2:3" hidden="1">
      <c r="B1644" s="61">
        <v>3276</v>
      </c>
      <c r="C1644" s="56" t="s">
        <v>14</v>
      </c>
    </row>
    <row r="1645" spans="2:3" hidden="1">
      <c r="B1645" s="61">
        <v>3275</v>
      </c>
      <c r="C1645" s="56" t="s">
        <v>14</v>
      </c>
    </row>
    <row r="1646" spans="2:3" hidden="1">
      <c r="B1646" s="61">
        <v>3267</v>
      </c>
      <c r="C1646" s="56" t="s">
        <v>14</v>
      </c>
    </row>
    <row r="1647" spans="2:3" hidden="1">
      <c r="B1647" s="61">
        <v>3266</v>
      </c>
      <c r="C1647" s="56" t="s">
        <v>14</v>
      </c>
    </row>
    <row r="1648" spans="2:3" hidden="1">
      <c r="B1648" s="61">
        <v>3265</v>
      </c>
      <c r="C1648" s="56" t="s">
        <v>14</v>
      </c>
    </row>
    <row r="1649" spans="2:3" hidden="1">
      <c r="B1649" s="61">
        <v>3257</v>
      </c>
      <c r="C1649" s="56" t="s">
        <v>14</v>
      </c>
    </row>
    <row r="1650" spans="2:3" hidden="1">
      <c r="B1650" s="61">
        <v>3256</v>
      </c>
      <c r="C1650" s="56" t="s">
        <v>14</v>
      </c>
    </row>
    <row r="1651" spans="2:3" hidden="1">
      <c r="B1651" s="61">
        <v>3255</v>
      </c>
      <c r="C1651" s="56" t="s">
        <v>14</v>
      </c>
    </row>
    <row r="1652" spans="2:3" hidden="1">
      <c r="B1652" s="61">
        <v>3177</v>
      </c>
      <c r="C1652" s="56" t="s">
        <v>14</v>
      </c>
    </row>
    <row r="1653" spans="2:3" hidden="1">
      <c r="B1653" s="61">
        <v>3176</v>
      </c>
      <c r="C1653" s="56" t="s">
        <v>14</v>
      </c>
    </row>
    <row r="1654" spans="2:3" hidden="1">
      <c r="B1654" s="61">
        <v>3175</v>
      </c>
      <c r="C1654" s="56" t="s">
        <v>14</v>
      </c>
    </row>
    <row r="1655" spans="2:3" hidden="1">
      <c r="B1655" s="61">
        <v>3167</v>
      </c>
      <c r="C1655" s="56" t="s">
        <v>14</v>
      </c>
    </row>
    <row r="1656" spans="2:3" hidden="1">
      <c r="B1656" s="61">
        <v>3166</v>
      </c>
      <c r="C1656" s="56" t="s">
        <v>14</v>
      </c>
    </row>
    <row r="1657" spans="2:3" hidden="1">
      <c r="B1657" s="61">
        <v>3165</v>
      </c>
      <c r="C1657" s="56" t="s">
        <v>14</v>
      </c>
    </row>
    <row r="1658" spans="2:3" hidden="1">
      <c r="B1658" s="61">
        <v>3157</v>
      </c>
      <c r="C1658" s="56" t="s">
        <v>14</v>
      </c>
    </row>
    <row r="1659" spans="2:3" hidden="1">
      <c r="B1659" s="61">
        <v>3156</v>
      </c>
      <c r="C1659" s="56" t="s">
        <v>14</v>
      </c>
    </row>
    <row r="1660" spans="2:3" hidden="1">
      <c r="B1660" s="61">
        <v>3155</v>
      </c>
      <c r="C1660" s="56" t="s">
        <v>14</v>
      </c>
    </row>
    <row r="1661" spans="2:3" hidden="1">
      <c r="B1661" s="61">
        <v>2477</v>
      </c>
      <c r="C1661" s="56" t="s">
        <v>14</v>
      </c>
    </row>
    <row r="1662" spans="2:3" hidden="1">
      <c r="B1662" s="61">
        <v>2476</v>
      </c>
      <c r="C1662" s="56" t="s">
        <v>14</v>
      </c>
    </row>
    <row r="1663" spans="2:3" hidden="1">
      <c r="B1663" s="61">
        <v>2475</v>
      </c>
      <c r="C1663" s="56" t="s">
        <v>14</v>
      </c>
    </row>
    <row r="1664" spans="2:3" hidden="1">
      <c r="B1664" s="61">
        <v>2467</v>
      </c>
      <c r="C1664" s="56" t="s">
        <v>14</v>
      </c>
    </row>
    <row r="1665" spans="2:3" hidden="1">
      <c r="B1665" s="61">
        <v>2466</v>
      </c>
      <c r="C1665" s="56" t="s">
        <v>14</v>
      </c>
    </row>
    <row r="1666" spans="2:3" hidden="1">
      <c r="B1666" s="61">
        <v>2465</v>
      </c>
      <c r="C1666" s="56" t="s">
        <v>14</v>
      </c>
    </row>
    <row r="1667" spans="2:3" hidden="1">
      <c r="B1667" s="61">
        <v>2457</v>
      </c>
      <c r="C1667" s="56" t="s">
        <v>14</v>
      </c>
    </row>
    <row r="1668" spans="2:3" hidden="1">
      <c r="B1668" s="61">
        <v>2456</v>
      </c>
      <c r="C1668" s="56" t="s">
        <v>14</v>
      </c>
    </row>
    <row r="1669" spans="2:3" hidden="1">
      <c r="B1669" s="61">
        <v>2455</v>
      </c>
      <c r="C1669" s="56" t="s">
        <v>14</v>
      </c>
    </row>
    <row r="1670" spans="2:3" hidden="1">
      <c r="B1670" s="61">
        <v>2377</v>
      </c>
      <c r="C1670" s="56" t="s">
        <v>14</v>
      </c>
    </row>
    <row r="1671" spans="2:3" hidden="1">
      <c r="B1671" s="61">
        <v>2376</v>
      </c>
      <c r="C1671" s="56" t="s">
        <v>14</v>
      </c>
    </row>
    <row r="1672" spans="2:3" hidden="1">
      <c r="B1672" s="61">
        <v>2375</v>
      </c>
      <c r="C1672" s="56" t="s">
        <v>14</v>
      </c>
    </row>
    <row r="1673" spans="2:3" hidden="1">
      <c r="B1673" s="61">
        <v>2367</v>
      </c>
      <c r="C1673" s="56" t="s">
        <v>14</v>
      </c>
    </row>
    <row r="1674" spans="2:3" hidden="1">
      <c r="B1674" s="61">
        <v>2366</v>
      </c>
      <c r="C1674" s="56" t="s">
        <v>14</v>
      </c>
    </row>
    <row r="1675" spans="2:3" hidden="1">
      <c r="B1675" s="61">
        <v>2365</v>
      </c>
      <c r="C1675" s="56" t="s">
        <v>14</v>
      </c>
    </row>
    <row r="1676" spans="2:3" hidden="1">
      <c r="B1676" s="61">
        <v>2357</v>
      </c>
      <c r="C1676" s="56" t="s">
        <v>14</v>
      </c>
    </row>
    <row r="1677" spans="2:3" hidden="1">
      <c r="B1677" s="61">
        <v>2356</v>
      </c>
      <c r="C1677" s="56" t="s">
        <v>14</v>
      </c>
    </row>
    <row r="1678" spans="2:3" hidden="1">
      <c r="B1678" s="61">
        <v>2355</v>
      </c>
      <c r="C1678" s="56" t="s">
        <v>14</v>
      </c>
    </row>
    <row r="1679" spans="2:3" hidden="1">
      <c r="B1679" s="61">
        <v>2277</v>
      </c>
      <c r="C1679" s="56" t="s">
        <v>14</v>
      </c>
    </row>
    <row r="1680" spans="2:3" hidden="1">
      <c r="B1680" s="61">
        <v>2276</v>
      </c>
      <c r="C1680" s="56" t="s">
        <v>14</v>
      </c>
    </row>
    <row r="1681" spans="2:3" hidden="1">
      <c r="B1681" s="61">
        <v>2275</v>
      </c>
      <c r="C1681" s="56" t="s">
        <v>14</v>
      </c>
    </row>
    <row r="1682" spans="2:3" hidden="1">
      <c r="B1682" s="61">
        <v>2267</v>
      </c>
      <c r="C1682" s="56" t="s">
        <v>14</v>
      </c>
    </row>
    <row r="1683" spans="2:3" hidden="1">
      <c r="B1683" s="61">
        <v>2266</v>
      </c>
      <c r="C1683" s="56" t="s">
        <v>14</v>
      </c>
    </row>
    <row r="1684" spans="2:3" hidden="1">
      <c r="B1684" s="61">
        <v>2265</v>
      </c>
      <c r="C1684" s="56" t="s">
        <v>14</v>
      </c>
    </row>
    <row r="1685" spans="2:3" hidden="1">
      <c r="B1685" s="61">
        <v>2257</v>
      </c>
      <c r="C1685" s="56" t="s">
        <v>14</v>
      </c>
    </row>
    <row r="1686" spans="2:3" hidden="1">
      <c r="B1686" s="61">
        <v>2256</v>
      </c>
      <c r="C1686" s="56" t="s">
        <v>14</v>
      </c>
    </row>
    <row r="1687" spans="2:3" hidden="1">
      <c r="B1687" s="61">
        <v>2255</v>
      </c>
      <c r="C1687" s="56" t="s">
        <v>14</v>
      </c>
    </row>
    <row r="1688" spans="2:3" hidden="1">
      <c r="B1688" s="61">
        <v>2177</v>
      </c>
      <c r="C1688" s="56" t="s">
        <v>14</v>
      </c>
    </row>
    <row r="1689" spans="2:3" hidden="1">
      <c r="B1689" s="61">
        <v>2176</v>
      </c>
      <c r="C1689" s="56" t="s">
        <v>14</v>
      </c>
    </row>
    <row r="1690" spans="2:3" hidden="1">
      <c r="B1690" s="61">
        <v>2175</v>
      </c>
      <c r="C1690" s="56" t="s">
        <v>14</v>
      </c>
    </row>
    <row r="1691" spans="2:3" hidden="1">
      <c r="B1691" s="61">
        <v>2167</v>
      </c>
      <c r="C1691" s="56" t="s">
        <v>14</v>
      </c>
    </row>
    <row r="1692" spans="2:3" hidden="1">
      <c r="B1692" s="61">
        <v>2166</v>
      </c>
      <c r="C1692" s="56" t="s">
        <v>14</v>
      </c>
    </row>
    <row r="1693" spans="2:3" hidden="1">
      <c r="B1693" s="61">
        <v>2165</v>
      </c>
      <c r="C1693" s="56" t="s">
        <v>14</v>
      </c>
    </row>
    <row r="1694" spans="2:3" hidden="1">
      <c r="B1694" s="61">
        <v>2157</v>
      </c>
      <c r="C1694" s="56" t="s">
        <v>14</v>
      </c>
    </row>
    <row r="1695" spans="2:3" hidden="1">
      <c r="B1695" s="61">
        <v>2156</v>
      </c>
      <c r="C1695" s="56" t="s">
        <v>14</v>
      </c>
    </row>
    <row r="1696" spans="2:3" hidden="1">
      <c r="B1696" s="61">
        <v>2155</v>
      </c>
      <c r="C1696" s="56" t="s">
        <v>14</v>
      </c>
    </row>
    <row r="1697" spans="2:3" hidden="1">
      <c r="B1697" s="61">
        <v>1477</v>
      </c>
      <c r="C1697" s="56" t="s">
        <v>14</v>
      </c>
    </row>
    <row r="1698" spans="2:3" hidden="1">
      <c r="B1698" s="61">
        <v>1476</v>
      </c>
      <c r="C1698" s="56" t="s">
        <v>14</v>
      </c>
    </row>
    <row r="1699" spans="2:3" hidden="1">
      <c r="B1699" s="61">
        <v>1475</v>
      </c>
      <c r="C1699" s="56" t="s">
        <v>14</v>
      </c>
    </row>
    <row r="1700" spans="2:3" hidden="1">
      <c r="B1700" s="61">
        <v>1467</v>
      </c>
      <c r="C1700" s="56" t="s">
        <v>14</v>
      </c>
    </row>
    <row r="1701" spans="2:3" hidden="1">
      <c r="B1701" s="61">
        <v>1466</v>
      </c>
      <c r="C1701" s="56" t="s">
        <v>14</v>
      </c>
    </row>
    <row r="1702" spans="2:3" hidden="1">
      <c r="B1702" s="61">
        <v>1465</v>
      </c>
      <c r="C1702" s="56" t="s">
        <v>14</v>
      </c>
    </row>
    <row r="1703" spans="2:3" hidden="1">
      <c r="B1703" s="61">
        <v>1457</v>
      </c>
      <c r="C1703" s="56" t="s">
        <v>14</v>
      </c>
    </row>
    <row r="1704" spans="2:3" hidden="1">
      <c r="B1704" s="61">
        <v>1456</v>
      </c>
      <c r="C1704" s="56" t="s">
        <v>14</v>
      </c>
    </row>
    <row r="1705" spans="2:3" hidden="1">
      <c r="B1705" s="61">
        <v>1455</v>
      </c>
      <c r="C1705" s="56" t="s">
        <v>14</v>
      </c>
    </row>
    <row r="1706" spans="2:3" hidden="1">
      <c r="B1706" s="61">
        <v>1377</v>
      </c>
      <c r="C1706" s="56" t="s">
        <v>14</v>
      </c>
    </row>
    <row r="1707" spans="2:3" hidden="1">
      <c r="B1707" s="61">
        <v>1376</v>
      </c>
      <c r="C1707" s="56" t="s">
        <v>14</v>
      </c>
    </row>
    <row r="1708" spans="2:3" hidden="1">
      <c r="B1708" s="61">
        <v>1375</v>
      </c>
      <c r="C1708" s="56" t="s">
        <v>14</v>
      </c>
    </row>
    <row r="1709" spans="2:3" hidden="1">
      <c r="B1709" s="61">
        <v>1367</v>
      </c>
      <c r="C1709" s="56" t="s">
        <v>14</v>
      </c>
    </row>
    <row r="1710" spans="2:3" hidden="1">
      <c r="B1710" s="61">
        <v>1366</v>
      </c>
      <c r="C1710" s="56" t="s">
        <v>14</v>
      </c>
    </row>
    <row r="1711" spans="2:3" hidden="1">
      <c r="B1711" s="61">
        <v>1365</v>
      </c>
      <c r="C1711" s="56" t="s">
        <v>14</v>
      </c>
    </row>
    <row r="1712" spans="2:3" hidden="1">
      <c r="B1712" s="61">
        <v>1357</v>
      </c>
      <c r="C1712" s="56" t="s">
        <v>14</v>
      </c>
    </row>
    <row r="1713" spans="2:3" hidden="1">
      <c r="B1713" s="61">
        <v>1356</v>
      </c>
      <c r="C1713" s="56" t="s">
        <v>14</v>
      </c>
    </row>
    <row r="1714" spans="2:3" hidden="1">
      <c r="B1714" s="61">
        <v>1355</v>
      </c>
      <c r="C1714" s="56" t="s">
        <v>14</v>
      </c>
    </row>
    <row r="1715" spans="2:3" hidden="1">
      <c r="B1715" s="61">
        <v>1277</v>
      </c>
      <c r="C1715" s="56" t="s">
        <v>14</v>
      </c>
    </row>
    <row r="1716" spans="2:3" hidden="1">
      <c r="B1716" s="61">
        <v>1276</v>
      </c>
      <c r="C1716" s="56" t="s">
        <v>14</v>
      </c>
    </row>
    <row r="1717" spans="2:3" hidden="1">
      <c r="B1717" s="61">
        <v>1275</v>
      </c>
      <c r="C1717" s="56" t="s">
        <v>14</v>
      </c>
    </row>
    <row r="1718" spans="2:3" hidden="1">
      <c r="B1718" s="61">
        <v>1267</v>
      </c>
      <c r="C1718" s="56" t="s">
        <v>14</v>
      </c>
    </row>
    <row r="1719" spans="2:3" hidden="1">
      <c r="B1719" s="61">
        <v>1266</v>
      </c>
      <c r="C1719" s="56" t="s">
        <v>14</v>
      </c>
    </row>
    <row r="1720" spans="2:3" hidden="1">
      <c r="B1720" s="61">
        <v>1265</v>
      </c>
      <c r="C1720" s="56" t="s">
        <v>14</v>
      </c>
    </row>
    <row r="1721" spans="2:3" hidden="1">
      <c r="B1721" s="61">
        <v>1257</v>
      </c>
      <c r="C1721" s="56" t="s">
        <v>14</v>
      </c>
    </row>
    <row r="1722" spans="2:3" hidden="1">
      <c r="B1722" s="61">
        <v>1256</v>
      </c>
      <c r="C1722" s="56" t="s">
        <v>14</v>
      </c>
    </row>
    <row r="1723" spans="2:3" hidden="1">
      <c r="B1723" s="61">
        <v>1255</v>
      </c>
      <c r="C1723" s="56" t="s">
        <v>14</v>
      </c>
    </row>
    <row r="1724" spans="2:3" hidden="1">
      <c r="B1724" s="61">
        <v>1177</v>
      </c>
      <c r="C1724" s="56" t="s">
        <v>14</v>
      </c>
    </row>
    <row r="1725" spans="2:3" hidden="1">
      <c r="B1725" s="61">
        <v>1176</v>
      </c>
      <c r="C1725" s="56" t="s">
        <v>14</v>
      </c>
    </row>
    <row r="1726" spans="2:3" hidden="1">
      <c r="B1726" s="61">
        <v>1175</v>
      </c>
      <c r="C1726" s="56" t="s">
        <v>14</v>
      </c>
    </row>
    <row r="1727" spans="2:3" hidden="1">
      <c r="B1727" s="61">
        <v>1167</v>
      </c>
      <c r="C1727" s="56" t="s">
        <v>14</v>
      </c>
    </row>
    <row r="1728" spans="2:3" hidden="1">
      <c r="B1728" s="61">
        <v>1166</v>
      </c>
      <c r="C1728" s="56" t="s">
        <v>14</v>
      </c>
    </row>
    <row r="1729" spans="2:3" hidden="1">
      <c r="B1729" s="61">
        <v>1165</v>
      </c>
      <c r="C1729" s="56" t="s">
        <v>14</v>
      </c>
    </row>
    <row r="1730" spans="2:3" hidden="1">
      <c r="B1730" s="61">
        <v>1157</v>
      </c>
      <c r="C1730" s="56" t="s">
        <v>14</v>
      </c>
    </row>
    <row r="1731" spans="2:3" hidden="1">
      <c r="B1731" s="61">
        <v>1156</v>
      </c>
      <c r="C1731" s="56" t="s">
        <v>14</v>
      </c>
    </row>
    <row r="1732" spans="2:3" hidden="1">
      <c r="B1732" s="61">
        <v>1155</v>
      </c>
      <c r="C1732" s="56" t="s">
        <v>14</v>
      </c>
    </row>
    <row r="1733" spans="2:3" hidden="1">
      <c r="B1733" s="61">
        <v>5754</v>
      </c>
      <c r="C1733" s="56" t="s">
        <v>87</v>
      </c>
    </row>
    <row r="1734" spans="2:3" hidden="1">
      <c r="B1734" s="61">
        <v>5753</v>
      </c>
      <c r="C1734" s="56" t="s">
        <v>87</v>
      </c>
    </row>
    <row r="1735" spans="2:3" hidden="1">
      <c r="B1735" s="61">
        <v>5752</v>
      </c>
      <c r="C1735" s="56" t="s">
        <v>87</v>
      </c>
    </row>
    <row r="1736" spans="2:3" hidden="1">
      <c r="B1736" s="61">
        <v>5751</v>
      </c>
      <c r="C1736" s="56" t="s">
        <v>87</v>
      </c>
    </row>
    <row r="1737" spans="2:3" hidden="1">
      <c r="B1737" s="61">
        <v>5744</v>
      </c>
      <c r="C1737" s="56" t="s">
        <v>87</v>
      </c>
    </row>
    <row r="1738" spans="2:3" hidden="1">
      <c r="B1738" s="61">
        <v>5743</v>
      </c>
      <c r="C1738" s="56" t="s">
        <v>87</v>
      </c>
    </row>
    <row r="1739" spans="2:3" hidden="1">
      <c r="B1739" s="61">
        <v>5742</v>
      </c>
      <c r="C1739" s="56" t="s">
        <v>87</v>
      </c>
    </row>
    <row r="1740" spans="2:3" hidden="1">
      <c r="B1740" s="61">
        <v>5741</v>
      </c>
      <c r="C1740" s="56" t="s">
        <v>87</v>
      </c>
    </row>
    <row r="1741" spans="2:3" hidden="1">
      <c r="B1741" s="61">
        <v>5734</v>
      </c>
      <c r="C1741" s="56" t="s">
        <v>87</v>
      </c>
    </row>
    <row r="1742" spans="2:3" hidden="1">
      <c r="B1742" s="61">
        <v>5733</v>
      </c>
      <c r="C1742" s="56" t="s">
        <v>87</v>
      </c>
    </row>
    <row r="1743" spans="2:3" hidden="1">
      <c r="B1743" s="61">
        <v>5732</v>
      </c>
      <c r="C1743" s="56" t="s">
        <v>87</v>
      </c>
    </row>
    <row r="1744" spans="2:3" hidden="1">
      <c r="B1744" s="61">
        <v>5731</v>
      </c>
      <c r="C1744" s="56" t="s">
        <v>87</v>
      </c>
    </row>
    <row r="1745" spans="2:3" hidden="1">
      <c r="B1745" s="61">
        <v>5724</v>
      </c>
      <c r="C1745" s="56" t="s">
        <v>87</v>
      </c>
    </row>
    <row r="1746" spans="2:3" hidden="1">
      <c r="B1746" s="61">
        <v>5723</v>
      </c>
      <c r="C1746" s="56" t="s">
        <v>87</v>
      </c>
    </row>
    <row r="1747" spans="2:3" hidden="1">
      <c r="B1747" s="61">
        <v>5722</v>
      </c>
      <c r="C1747" s="56" t="s">
        <v>87</v>
      </c>
    </row>
    <row r="1748" spans="2:3" hidden="1">
      <c r="B1748" s="61">
        <v>5721</v>
      </c>
      <c r="C1748" s="56" t="s">
        <v>87</v>
      </c>
    </row>
    <row r="1749" spans="2:3" hidden="1">
      <c r="B1749" s="61">
        <v>5714</v>
      </c>
      <c r="C1749" s="56" t="s">
        <v>87</v>
      </c>
    </row>
    <row r="1750" spans="2:3" hidden="1">
      <c r="B1750" s="61">
        <v>5713</v>
      </c>
      <c r="C1750" s="56" t="s">
        <v>87</v>
      </c>
    </row>
    <row r="1751" spans="2:3" hidden="1">
      <c r="B1751" s="61">
        <v>5712</v>
      </c>
      <c r="C1751" s="56" t="s">
        <v>87</v>
      </c>
    </row>
    <row r="1752" spans="2:3" hidden="1">
      <c r="B1752" s="61">
        <v>5711</v>
      </c>
      <c r="C1752" s="56" t="s">
        <v>87</v>
      </c>
    </row>
    <row r="1753" spans="2:3" hidden="1">
      <c r="B1753" s="61">
        <v>5654</v>
      </c>
      <c r="C1753" s="56" t="s">
        <v>87</v>
      </c>
    </row>
    <row r="1754" spans="2:3" hidden="1">
      <c r="B1754" s="61">
        <v>5653</v>
      </c>
      <c r="C1754" s="56" t="s">
        <v>87</v>
      </c>
    </row>
    <row r="1755" spans="2:3" hidden="1">
      <c r="B1755" s="61">
        <v>5652</v>
      </c>
      <c r="C1755" s="56" t="s">
        <v>87</v>
      </c>
    </row>
    <row r="1756" spans="2:3" hidden="1">
      <c r="B1756" s="61">
        <v>5651</v>
      </c>
      <c r="C1756" s="56" t="s">
        <v>87</v>
      </c>
    </row>
    <row r="1757" spans="2:3" hidden="1">
      <c r="B1757" s="61">
        <v>5644</v>
      </c>
      <c r="C1757" s="56" t="s">
        <v>87</v>
      </c>
    </row>
    <row r="1758" spans="2:3" hidden="1">
      <c r="B1758" s="61">
        <v>5643</v>
      </c>
      <c r="C1758" s="56" t="s">
        <v>87</v>
      </c>
    </row>
    <row r="1759" spans="2:3" hidden="1">
      <c r="B1759" s="61">
        <v>5642</v>
      </c>
      <c r="C1759" s="56" t="s">
        <v>87</v>
      </c>
    </row>
    <row r="1760" spans="2:3" hidden="1">
      <c r="B1760" s="61">
        <v>5641</v>
      </c>
      <c r="C1760" s="56" t="s">
        <v>87</v>
      </c>
    </row>
    <row r="1761" spans="2:3" hidden="1">
      <c r="B1761" s="61">
        <v>5634</v>
      </c>
      <c r="C1761" s="56" t="s">
        <v>87</v>
      </c>
    </row>
    <row r="1762" spans="2:3" hidden="1">
      <c r="B1762" s="61">
        <v>5633</v>
      </c>
      <c r="C1762" s="56" t="s">
        <v>87</v>
      </c>
    </row>
    <row r="1763" spans="2:3" hidden="1">
      <c r="B1763" s="61">
        <v>5632</v>
      </c>
      <c r="C1763" s="56" t="s">
        <v>87</v>
      </c>
    </row>
    <row r="1764" spans="2:3" hidden="1">
      <c r="B1764" s="61">
        <v>5631</v>
      </c>
      <c r="C1764" s="56" t="s">
        <v>87</v>
      </c>
    </row>
    <row r="1765" spans="2:3" hidden="1">
      <c r="B1765" s="61">
        <v>5624</v>
      </c>
      <c r="C1765" s="56" t="s">
        <v>87</v>
      </c>
    </row>
    <row r="1766" spans="2:3" hidden="1">
      <c r="B1766" s="61">
        <v>5623</v>
      </c>
      <c r="C1766" s="56" t="s">
        <v>87</v>
      </c>
    </row>
    <row r="1767" spans="2:3" hidden="1">
      <c r="B1767" s="61">
        <v>5622</v>
      </c>
      <c r="C1767" s="56" t="s">
        <v>87</v>
      </c>
    </row>
    <row r="1768" spans="2:3" hidden="1">
      <c r="B1768" s="61">
        <v>5621</v>
      </c>
      <c r="C1768" s="56" t="s">
        <v>87</v>
      </c>
    </row>
    <row r="1769" spans="2:3" hidden="1">
      <c r="B1769" s="61">
        <v>5614</v>
      </c>
      <c r="C1769" s="56" t="s">
        <v>87</v>
      </c>
    </row>
    <row r="1770" spans="2:3" hidden="1">
      <c r="B1770" s="61">
        <v>5613</v>
      </c>
      <c r="C1770" s="56" t="s">
        <v>87</v>
      </c>
    </row>
    <row r="1771" spans="2:3" hidden="1">
      <c r="B1771" s="61">
        <v>5612</v>
      </c>
      <c r="C1771" s="56" t="s">
        <v>87</v>
      </c>
    </row>
    <row r="1772" spans="2:3" hidden="1">
      <c r="B1772" s="61">
        <v>5611</v>
      </c>
      <c r="C1772" s="56" t="s">
        <v>87</v>
      </c>
    </row>
    <row r="1773" spans="2:3" hidden="1">
      <c r="B1773" s="61">
        <v>4777</v>
      </c>
      <c r="C1773" s="56" t="s">
        <v>188</v>
      </c>
    </row>
    <row r="1774" spans="2:3" hidden="1">
      <c r="B1774" s="61">
        <v>4776</v>
      </c>
      <c r="C1774" s="56" t="s">
        <v>188</v>
      </c>
    </row>
    <row r="1775" spans="2:3" hidden="1">
      <c r="B1775" s="61">
        <v>4775</v>
      </c>
      <c r="C1775" s="56" t="s">
        <v>188</v>
      </c>
    </row>
    <row r="1776" spans="2:3" hidden="1">
      <c r="B1776" s="61">
        <v>4767</v>
      </c>
      <c r="C1776" s="56" t="s">
        <v>188</v>
      </c>
    </row>
    <row r="1777" spans="2:3" hidden="1">
      <c r="B1777" s="61">
        <v>4766</v>
      </c>
      <c r="C1777" s="56" t="s">
        <v>188</v>
      </c>
    </row>
    <row r="1778" spans="2:3" hidden="1">
      <c r="B1778" s="61">
        <v>4765</v>
      </c>
      <c r="C1778" s="56" t="s">
        <v>188</v>
      </c>
    </row>
    <row r="1779" spans="2:3" hidden="1">
      <c r="B1779" s="61">
        <v>4757</v>
      </c>
      <c r="C1779" s="56" t="s">
        <v>188</v>
      </c>
    </row>
    <row r="1780" spans="2:3" hidden="1">
      <c r="B1780" s="61">
        <v>4756</v>
      </c>
      <c r="C1780" s="56" t="s">
        <v>188</v>
      </c>
    </row>
    <row r="1781" spans="2:3" hidden="1">
      <c r="B1781" s="61">
        <v>4755</v>
      </c>
      <c r="C1781" s="56" t="s">
        <v>188</v>
      </c>
    </row>
    <row r="1782" spans="2:3" hidden="1">
      <c r="B1782" s="61">
        <v>4677</v>
      </c>
      <c r="C1782" s="56" t="s">
        <v>188</v>
      </c>
    </row>
    <row r="1783" spans="2:3" hidden="1">
      <c r="B1783" s="61">
        <v>4676</v>
      </c>
      <c r="C1783" s="56" t="s">
        <v>188</v>
      </c>
    </row>
    <row r="1784" spans="2:3" hidden="1">
      <c r="B1784" s="61">
        <v>4675</v>
      </c>
      <c r="C1784" s="56" t="s">
        <v>188</v>
      </c>
    </row>
    <row r="1785" spans="2:3" hidden="1">
      <c r="B1785" s="61">
        <v>4667</v>
      </c>
      <c r="C1785" s="56" t="s">
        <v>188</v>
      </c>
    </row>
    <row r="1786" spans="2:3" hidden="1">
      <c r="B1786" s="61">
        <v>4666</v>
      </c>
      <c r="C1786" s="56" t="s">
        <v>188</v>
      </c>
    </row>
    <row r="1787" spans="2:3" hidden="1">
      <c r="B1787" s="61">
        <v>4665</v>
      </c>
      <c r="C1787" s="56" t="s">
        <v>188</v>
      </c>
    </row>
    <row r="1788" spans="2:3" hidden="1">
      <c r="B1788" s="61">
        <v>4657</v>
      </c>
      <c r="C1788" s="56" t="s">
        <v>188</v>
      </c>
    </row>
    <row r="1789" spans="2:3" hidden="1">
      <c r="B1789" s="61">
        <v>4656</v>
      </c>
      <c r="C1789" s="56" t="s">
        <v>188</v>
      </c>
    </row>
    <row r="1790" spans="2:3" hidden="1">
      <c r="B1790" s="61">
        <v>4655</v>
      </c>
      <c r="C1790" s="56" t="s">
        <v>188</v>
      </c>
    </row>
    <row r="1791" spans="2:3" hidden="1">
      <c r="B1791" s="61">
        <v>4577</v>
      </c>
      <c r="C1791" s="56" t="s">
        <v>188</v>
      </c>
    </row>
    <row r="1792" spans="2:3" hidden="1">
      <c r="B1792" s="61">
        <v>4576</v>
      </c>
      <c r="C1792" s="56" t="s">
        <v>188</v>
      </c>
    </row>
    <row r="1793" spans="2:3" hidden="1">
      <c r="B1793" s="61">
        <v>4575</v>
      </c>
      <c r="C1793" s="56" t="s">
        <v>188</v>
      </c>
    </row>
    <row r="1794" spans="2:3" hidden="1">
      <c r="B1794" s="61">
        <v>4567</v>
      </c>
      <c r="C1794" s="56" t="s">
        <v>188</v>
      </c>
    </row>
    <row r="1795" spans="2:3" hidden="1">
      <c r="B1795" s="61">
        <v>4566</v>
      </c>
      <c r="C1795" s="56" t="s">
        <v>188</v>
      </c>
    </row>
    <row r="1796" spans="2:3" hidden="1">
      <c r="B1796" s="61">
        <v>4565</v>
      </c>
      <c r="C1796" s="56" t="s">
        <v>188</v>
      </c>
    </row>
    <row r="1797" spans="2:3" hidden="1">
      <c r="B1797" s="61">
        <v>4557</v>
      </c>
      <c r="C1797" s="56" t="s">
        <v>188</v>
      </c>
    </row>
    <row r="1798" spans="2:3" hidden="1">
      <c r="B1798" s="61">
        <v>4556</v>
      </c>
      <c r="C1798" s="56" t="s">
        <v>188</v>
      </c>
    </row>
    <row r="1799" spans="2:3" hidden="1">
      <c r="B1799" s="61">
        <v>4547</v>
      </c>
      <c r="C1799" s="56" t="s">
        <v>188</v>
      </c>
    </row>
    <row r="1800" spans="2:3" hidden="1">
      <c r="B1800" s="61">
        <v>4546</v>
      </c>
      <c r="C1800" s="56" t="s">
        <v>188</v>
      </c>
    </row>
    <row r="1801" spans="2:3" hidden="1">
      <c r="B1801" s="61">
        <v>4545</v>
      </c>
      <c r="C1801" s="56" t="s">
        <v>188</v>
      </c>
    </row>
    <row r="1802" spans="2:3" hidden="1">
      <c r="B1802" s="61">
        <v>3777</v>
      </c>
      <c r="C1802" s="56" t="s">
        <v>188</v>
      </c>
    </row>
    <row r="1803" spans="2:3" hidden="1">
      <c r="B1803" s="61">
        <v>3776</v>
      </c>
      <c r="C1803" s="56" t="s">
        <v>188</v>
      </c>
    </row>
    <row r="1804" spans="2:3" hidden="1">
      <c r="B1804" s="61">
        <v>3775</v>
      </c>
      <c r="C1804" s="56" t="s">
        <v>188</v>
      </c>
    </row>
    <row r="1805" spans="2:3" hidden="1">
      <c r="B1805" s="61">
        <v>3767</v>
      </c>
      <c r="C1805" s="56" t="s">
        <v>188</v>
      </c>
    </row>
    <row r="1806" spans="2:3" hidden="1">
      <c r="B1806" s="61">
        <v>3766</v>
      </c>
      <c r="C1806" s="56" t="s">
        <v>188</v>
      </c>
    </row>
    <row r="1807" spans="2:3" hidden="1">
      <c r="B1807" s="61">
        <v>3765</v>
      </c>
      <c r="C1807" s="56" t="s">
        <v>188</v>
      </c>
    </row>
    <row r="1808" spans="2:3" hidden="1">
      <c r="B1808" s="61">
        <v>3757</v>
      </c>
      <c r="C1808" s="56" t="s">
        <v>188</v>
      </c>
    </row>
    <row r="1809" spans="2:3" hidden="1">
      <c r="B1809" s="61">
        <v>3756</v>
      </c>
      <c r="C1809" s="56" t="s">
        <v>188</v>
      </c>
    </row>
    <row r="1810" spans="2:3" hidden="1">
      <c r="B1810" s="61">
        <v>3755</v>
      </c>
      <c r="C1810" s="56" t="s">
        <v>188</v>
      </c>
    </row>
    <row r="1811" spans="2:3" hidden="1">
      <c r="B1811" s="61">
        <v>3747</v>
      </c>
      <c r="C1811" s="56" t="s">
        <v>188</v>
      </c>
    </row>
    <row r="1812" spans="2:3" hidden="1">
      <c r="B1812" s="61">
        <v>3746</v>
      </c>
      <c r="C1812" s="56" t="s">
        <v>188</v>
      </c>
    </row>
    <row r="1813" spans="2:3" hidden="1">
      <c r="B1813" s="61">
        <v>3745</v>
      </c>
      <c r="C1813" s="56" t="s">
        <v>188</v>
      </c>
    </row>
    <row r="1814" spans="2:3" hidden="1">
      <c r="B1814" s="61">
        <v>3677</v>
      </c>
      <c r="C1814" s="56" t="s">
        <v>188</v>
      </c>
    </row>
    <row r="1815" spans="2:3" hidden="1">
      <c r="B1815" s="61">
        <v>3676</v>
      </c>
      <c r="C1815" s="56" t="s">
        <v>188</v>
      </c>
    </row>
    <row r="1816" spans="2:3" hidden="1">
      <c r="B1816" s="61">
        <v>3675</v>
      </c>
      <c r="C1816" s="56" t="s">
        <v>188</v>
      </c>
    </row>
    <row r="1817" spans="2:3" hidden="1">
      <c r="B1817" s="61">
        <v>3667</v>
      </c>
      <c r="C1817" s="56" t="s">
        <v>188</v>
      </c>
    </row>
    <row r="1818" spans="2:3" hidden="1">
      <c r="B1818" s="61">
        <v>3666</v>
      </c>
      <c r="C1818" s="56" t="s">
        <v>188</v>
      </c>
    </row>
    <row r="1819" spans="2:3" hidden="1">
      <c r="B1819" s="61">
        <v>3665</v>
      </c>
      <c r="C1819" s="56" t="s">
        <v>188</v>
      </c>
    </row>
    <row r="1820" spans="2:3" hidden="1">
      <c r="B1820" s="61">
        <v>3657</v>
      </c>
      <c r="C1820" s="56" t="s">
        <v>188</v>
      </c>
    </row>
    <row r="1821" spans="2:3" hidden="1">
      <c r="B1821" s="61">
        <v>3656</v>
      </c>
      <c r="C1821" s="56" t="s">
        <v>188</v>
      </c>
    </row>
    <row r="1822" spans="2:3" hidden="1">
      <c r="B1822" s="61">
        <v>3655</v>
      </c>
      <c r="C1822" s="56" t="s">
        <v>188</v>
      </c>
    </row>
    <row r="1823" spans="2:3" hidden="1">
      <c r="B1823" s="61">
        <v>3647</v>
      </c>
      <c r="C1823" s="56" t="s">
        <v>188</v>
      </c>
    </row>
    <row r="1824" spans="2:3" hidden="1">
      <c r="B1824" s="61">
        <v>3646</v>
      </c>
      <c r="C1824" s="56" t="s">
        <v>188</v>
      </c>
    </row>
    <row r="1825" spans="2:3" hidden="1">
      <c r="B1825" s="61">
        <v>3645</v>
      </c>
      <c r="C1825" s="56" t="s">
        <v>188</v>
      </c>
    </row>
    <row r="1826" spans="2:3" hidden="1">
      <c r="B1826" s="61">
        <v>3577</v>
      </c>
      <c r="C1826" s="56" t="s">
        <v>188</v>
      </c>
    </row>
    <row r="1827" spans="2:3" hidden="1">
      <c r="B1827" s="61">
        <v>3576</v>
      </c>
      <c r="C1827" s="56" t="s">
        <v>188</v>
      </c>
    </row>
    <row r="1828" spans="2:3" hidden="1">
      <c r="B1828" s="61">
        <v>3575</v>
      </c>
      <c r="C1828" s="56" t="s">
        <v>188</v>
      </c>
    </row>
    <row r="1829" spans="2:3" hidden="1">
      <c r="B1829" s="61">
        <v>3567</v>
      </c>
      <c r="C1829" s="56" t="s">
        <v>188</v>
      </c>
    </row>
    <row r="1830" spans="2:3" hidden="1">
      <c r="B1830" s="61">
        <v>3566</v>
      </c>
      <c r="C1830" s="56" t="s">
        <v>188</v>
      </c>
    </row>
    <row r="1831" spans="2:3" hidden="1">
      <c r="B1831" s="61">
        <v>3565</v>
      </c>
      <c r="C1831" s="56" t="s">
        <v>188</v>
      </c>
    </row>
    <row r="1832" spans="2:3" hidden="1">
      <c r="B1832" s="61">
        <v>3557</v>
      </c>
      <c r="C1832" s="56" t="s">
        <v>188</v>
      </c>
    </row>
    <row r="1833" spans="2:3" hidden="1">
      <c r="B1833" s="61">
        <v>3556</v>
      </c>
      <c r="C1833" s="56" t="s">
        <v>188</v>
      </c>
    </row>
    <row r="1834" spans="2:3" hidden="1">
      <c r="B1834" s="61">
        <v>3555</v>
      </c>
      <c r="C1834" s="56" t="s">
        <v>188</v>
      </c>
    </row>
    <row r="1835" spans="2:3" hidden="1">
      <c r="B1835" s="61">
        <v>3547</v>
      </c>
      <c r="C1835" s="56" t="s">
        <v>188</v>
      </c>
    </row>
    <row r="1836" spans="2:3" hidden="1">
      <c r="B1836" s="61">
        <v>3546</v>
      </c>
      <c r="C1836" s="56" t="s">
        <v>188</v>
      </c>
    </row>
    <row r="1837" spans="2:3" hidden="1">
      <c r="B1837" s="61">
        <v>3545</v>
      </c>
      <c r="C1837" s="56" t="s">
        <v>188</v>
      </c>
    </row>
    <row r="1838" spans="2:3" hidden="1">
      <c r="B1838" s="61">
        <v>2777</v>
      </c>
      <c r="C1838" s="56" t="s">
        <v>188</v>
      </c>
    </row>
    <row r="1839" spans="2:3" hidden="1">
      <c r="B1839" s="61">
        <v>2776</v>
      </c>
      <c r="C1839" s="56" t="s">
        <v>188</v>
      </c>
    </row>
    <row r="1840" spans="2:3" hidden="1">
      <c r="B1840" s="61">
        <v>2775</v>
      </c>
      <c r="C1840" s="56" t="s">
        <v>188</v>
      </c>
    </row>
    <row r="1841" spans="2:3" hidden="1">
      <c r="B1841" s="61">
        <v>2767</v>
      </c>
      <c r="C1841" s="56" t="s">
        <v>188</v>
      </c>
    </row>
    <row r="1842" spans="2:3" hidden="1">
      <c r="B1842" s="61">
        <v>2766</v>
      </c>
      <c r="C1842" s="56" t="s">
        <v>188</v>
      </c>
    </row>
    <row r="1843" spans="2:3" hidden="1">
      <c r="B1843" s="61">
        <v>2765</v>
      </c>
      <c r="C1843" s="56" t="s">
        <v>188</v>
      </c>
    </row>
    <row r="1844" spans="2:3" hidden="1">
      <c r="B1844" s="61">
        <v>2757</v>
      </c>
      <c r="C1844" s="56" t="s">
        <v>188</v>
      </c>
    </row>
    <row r="1845" spans="2:3" hidden="1">
      <c r="B1845" s="61">
        <v>2756</v>
      </c>
      <c r="C1845" s="56" t="s">
        <v>188</v>
      </c>
    </row>
    <row r="1846" spans="2:3" hidden="1">
      <c r="B1846" s="61">
        <v>2755</v>
      </c>
      <c r="C1846" s="56" t="s">
        <v>188</v>
      </c>
    </row>
    <row r="1847" spans="2:3" hidden="1">
      <c r="B1847" s="61">
        <v>2747</v>
      </c>
      <c r="C1847" s="56" t="s">
        <v>188</v>
      </c>
    </row>
    <row r="1848" spans="2:3" hidden="1">
      <c r="B1848" s="61">
        <v>2746</v>
      </c>
      <c r="C1848" s="56" t="s">
        <v>188</v>
      </c>
    </row>
    <row r="1849" spans="2:3" hidden="1">
      <c r="B1849" s="61">
        <v>2745</v>
      </c>
      <c r="C1849" s="56" t="s">
        <v>188</v>
      </c>
    </row>
    <row r="1850" spans="2:3" hidden="1">
      <c r="B1850" s="61">
        <v>2677</v>
      </c>
      <c r="C1850" s="56" t="s">
        <v>188</v>
      </c>
    </row>
    <row r="1851" spans="2:3" hidden="1">
      <c r="B1851" s="61">
        <v>2676</v>
      </c>
      <c r="C1851" s="56" t="s">
        <v>188</v>
      </c>
    </row>
    <row r="1852" spans="2:3" hidden="1">
      <c r="B1852" s="61">
        <v>2675</v>
      </c>
      <c r="C1852" s="56" t="s">
        <v>188</v>
      </c>
    </row>
    <row r="1853" spans="2:3" hidden="1">
      <c r="B1853" s="61">
        <v>2667</v>
      </c>
      <c r="C1853" s="56" t="s">
        <v>188</v>
      </c>
    </row>
    <row r="1854" spans="2:3" hidden="1">
      <c r="B1854" s="61">
        <v>2666</v>
      </c>
      <c r="C1854" s="56" t="s">
        <v>188</v>
      </c>
    </row>
    <row r="1855" spans="2:3" hidden="1">
      <c r="B1855" s="61">
        <v>2665</v>
      </c>
      <c r="C1855" s="56" t="s">
        <v>188</v>
      </c>
    </row>
    <row r="1856" spans="2:3" hidden="1">
      <c r="B1856" s="61">
        <v>2657</v>
      </c>
      <c r="C1856" s="56" t="s">
        <v>188</v>
      </c>
    </row>
    <row r="1857" spans="2:3" hidden="1">
      <c r="B1857" s="61">
        <v>2656</v>
      </c>
      <c r="C1857" s="56" t="s">
        <v>188</v>
      </c>
    </row>
    <row r="1858" spans="2:3" hidden="1">
      <c r="B1858" s="61">
        <v>2655</v>
      </c>
      <c r="C1858" s="56" t="s">
        <v>188</v>
      </c>
    </row>
    <row r="1859" spans="2:3" hidden="1">
      <c r="B1859" s="61">
        <v>2647</v>
      </c>
      <c r="C1859" s="56" t="s">
        <v>188</v>
      </c>
    </row>
    <row r="1860" spans="2:3" hidden="1">
      <c r="B1860" s="61">
        <v>2646</v>
      </c>
      <c r="C1860" s="56" t="s">
        <v>188</v>
      </c>
    </row>
    <row r="1861" spans="2:3" hidden="1">
      <c r="B1861" s="61">
        <v>2645</v>
      </c>
      <c r="C1861" s="56" t="s">
        <v>188</v>
      </c>
    </row>
    <row r="1862" spans="2:3" hidden="1">
      <c r="B1862" s="61">
        <v>2577</v>
      </c>
      <c r="C1862" s="56" t="s">
        <v>188</v>
      </c>
    </row>
    <row r="1863" spans="2:3" hidden="1">
      <c r="B1863" s="61">
        <v>2576</v>
      </c>
      <c r="C1863" s="56" t="s">
        <v>188</v>
      </c>
    </row>
    <row r="1864" spans="2:3" hidden="1">
      <c r="B1864" s="61">
        <v>2575</v>
      </c>
      <c r="C1864" s="56" t="s">
        <v>188</v>
      </c>
    </row>
    <row r="1865" spans="2:3" hidden="1">
      <c r="B1865" s="61">
        <v>2567</v>
      </c>
      <c r="C1865" s="56" t="s">
        <v>188</v>
      </c>
    </row>
    <row r="1866" spans="2:3" hidden="1">
      <c r="B1866" s="61">
        <v>2566</v>
      </c>
      <c r="C1866" s="56" t="s">
        <v>188</v>
      </c>
    </row>
    <row r="1867" spans="2:3" hidden="1">
      <c r="B1867" s="61">
        <v>2565</v>
      </c>
      <c r="C1867" s="56" t="s">
        <v>188</v>
      </c>
    </row>
    <row r="1868" spans="2:3" hidden="1">
      <c r="B1868" s="61">
        <v>2557</v>
      </c>
      <c r="C1868" s="56" t="s">
        <v>188</v>
      </c>
    </row>
    <row r="1869" spans="2:3" hidden="1">
      <c r="B1869" s="61">
        <v>2556</v>
      </c>
      <c r="C1869" s="56" t="s">
        <v>188</v>
      </c>
    </row>
    <row r="1870" spans="2:3" hidden="1">
      <c r="B1870" s="61">
        <v>2555</v>
      </c>
      <c r="C1870" s="56" t="s">
        <v>188</v>
      </c>
    </row>
    <row r="1871" spans="2:3" hidden="1">
      <c r="B1871" s="61">
        <v>2547</v>
      </c>
      <c r="C1871" s="56" t="s">
        <v>188</v>
      </c>
    </row>
    <row r="1872" spans="2:3" hidden="1">
      <c r="B1872" s="61">
        <v>2546</v>
      </c>
      <c r="C1872" s="56" t="s">
        <v>188</v>
      </c>
    </row>
    <row r="1873" spans="2:3" hidden="1">
      <c r="B1873" s="61">
        <v>2545</v>
      </c>
      <c r="C1873" s="56" t="s">
        <v>188</v>
      </c>
    </row>
    <row r="1874" spans="2:3" hidden="1">
      <c r="B1874" s="61">
        <v>1777</v>
      </c>
      <c r="C1874" s="56" t="s">
        <v>188</v>
      </c>
    </row>
    <row r="1875" spans="2:3" hidden="1">
      <c r="B1875" s="61">
        <v>1776</v>
      </c>
      <c r="C1875" s="56" t="s">
        <v>188</v>
      </c>
    </row>
    <row r="1876" spans="2:3" hidden="1">
      <c r="B1876" s="61">
        <v>1775</v>
      </c>
      <c r="C1876" s="56" t="s">
        <v>188</v>
      </c>
    </row>
    <row r="1877" spans="2:3" hidden="1">
      <c r="B1877" s="61">
        <v>1767</v>
      </c>
      <c r="C1877" s="56" t="s">
        <v>188</v>
      </c>
    </row>
    <row r="1878" spans="2:3" hidden="1">
      <c r="B1878" s="61">
        <v>1766</v>
      </c>
      <c r="C1878" s="56" t="s">
        <v>188</v>
      </c>
    </row>
    <row r="1879" spans="2:3" hidden="1">
      <c r="B1879" s="61">
        <v>1765</v>
      </c>
      <c r="C1879" s="56" t="s">
        <v>188</v>
      </c>
    </row>
    <row r="1880" spans="2:3" hidden="1">
      <c r="B1880" s="61">
        <v>1757</v>
      </c>
      <c r="C1880" s="56" t="s">
        <v>188</v>
      </c>
    </row>
    <row r="1881" spans="2:3" hidden="1">
      <c r="B1881" s="61">
        <v>1756</v>
      </c>
      <c r="C1881" s="56" t="s">
        <v>188</v>
      </c>
    </row>
    <row r="1882" spans="2:3" hidden="1">
      <c r="B1882" s="61">
        <v>1755</v>
      </c>
      <c r="C1882" s="56" t="s">
        <v>188</v>
      </c>
    </row>
    <row r="1883" spans="2:3" hidden="1">
      <c r="B1883" s="61">
        <v>1747</v>
      </c>
      <c r="C1883" s="56" t="s">
        <v>188</v>
      </c>
    </row>
    <row r="1884" spans="2:3" hidden="1">
      <c r="B1884" s="61">
        <v>1746</v>
      </c>
      <c r="C1884" s="56" t="s">
        <v>188</v>
      </c>
    </row>
    <row r="1885" spans="2:3" hidden="1">
      <c r="B1885" s="61">
        <v>1745</v>
      </c>
      <c r="C1885" s="56" t="s">
        <v>188</v>
      </c>
    </row>
    <row r="1886" spans="2:3" hidden="1">
      <c r="B1886" s="61">
        <v>1677</v>
      </c>
      <c r="C1886" s="56" t="s">
        <v>188</v>
      </c>
    </row>
    <row r="1887" spans="2:3" hidden="1">
      <c r="B1887" s="61">
        <v>1676</v>
      </c>
      <c r="C1887" s="56" t="s">
        <v>188</v>
      </c>
    </row>
    <row r="1888" spans="2:3" hidden="1">
      <c r="B1888" s="61">
        <v>1675</v>
      </c>
      <c r="C1888" s="56" t="s">
        <v>188</v>
      </c>
    </row>
    <row r="1889" spans="2:3" hidden="1">
      <c r="B1889" s="61">
        <v>1667</v>
      </c>
      <c r="C1889" s="56" t="s">
        <v>188</v>
      </c>
    </row>
    <row r="1890" spans="2:3" hidden="1">
      <c r="B1890" s="61">
        <v>1666</v>
      </c>
      <c r="C1890" s="56" t="s">
        <v>188</v>
      </c>
    </row>
    <row r="1891" spans="2:3" hidden="1">
      <c r="B1891" s="61">
        <v>1665</v>
      </c>
      <c r="C1891" s="56" t="s">
        <v>188</v>
      </c>
    </row>
    <row r="1892" spans="2:3" hidden="1">
      <c r="B1892" s="61">
        <v>1657</v>
      </c>
      <c r="C1892" s="56" t="s">
        <v>188</v>
      </c>
    </row>
    <row r="1893" spans="2:3" hidden="1">
      <c r="B1893" s="61">
        <v>1656</v>
      </c>
      <c r="C1893" s="56" t="s">
        <v>188</v>
      </c>
    </row>
    <row r="1894" spans="2:3" hidden="1">
      <c r="B1894" s="61">
        <v>1655</v>
      </c>
      <c r="C1894" s="56" t="s">
        <v>188</v>
      </c>
    </row>
    <row r="1895" spans="2:3" hidden="1">
      <c r="B1895" s="61">
        <v>1647</v>
      </c>
      <c r="C1895" s="56" t="s">
        <v>188</v>
      </c>
    </row>
    <row r="1896" spans="2:3" hidden="1">
      <c r="B1896" s="61">
        <v>1646</v>
      </c>
      <c r="C1896" s="56" t="s">
        <v>188</v>
      </c>
    </row>
    <row r="1897" spans="2:3" hidden="1">
      <c r="B1897" s="61">
        <v>1645</v>
      </c>
      <c r="C1897" s="56" t="s">
        <v>188</v>
      </c>
    </row>
    <row r="1898" spans="2:3" hidden="1">
      <c r="B1898" s="61">
        <v>1577</v>
      </c>
      <c r="C1898" s="56" t="s">
        <v>188</v>
      </c>
    </row>
    <row r="1899" spans="2:3" hidden="1">
      <c r="B1899" s="61">
        <v>1576</v>
      </c>
      <c r="C1899" s="56" t="s">
        <v>188</v>
      </c>
    </row>
    <row r="1900" spans="2:3" hidden="1">
      <c r="B1900" s="61">
        <v>1575</v>
      </c>
      <c r="C1900" s="56" t="s">
        <v>188</v>
      </c>
    </row>
    <row r="1901" spans="2:3" hidden="1">
      <c r="B1901" s="61">
        <v>1567</v>
      </c>
      <c r="C1901" s="56" t="s">
        <v>188</v>
      </c>
    </row>
    <row r="1902" spans="2:3" hidden="1">
      <c r="B1902" s="61">
        <v>1566</v>
      </c>
      <c r="C1902" s="56" t="s">
        <v>188</v>
      </c>
    </row>
    <row r="1903" spans="2:3" hidden="1">
      <c r="B1903" s="61">
        <v>1565</v>
      </c>
      <c r="C1903" s="56" t="s">
        <v>188</v>
      </c>
    </row>
    <row r="1904" spans="2:3" hidden="1">
      <c r="B1904" s="61">
        <v>1557</v>
      </c>
      <c r="C1904" s="56" t="s">
        <v>188</v>
      </c>
    </row>
    <row r="1905" spans="2:3" hidden="1">
      <c r="B1905" s="61">
        <v>1556</v>
      </c>
      <c r="C1905" s="56" t="s">
        <v>188</v>
      </c>
    </row>
    <row r="1906" spans="2:3" hidden="1">
      <c r="B1906" s="61">
        <v>1555</v>
      </c>
      <c r="C1906" s="56" t="s">
        <v>188</v>
      </c>
    </row>
    <row r="1907" spans="2:3" hidden="1">
      <c r="B1907" s="61">
        <v>1547</v>
      </c>
      <c r="C1907" s="56" t="s">
        <v>188</v>
      </c>
    </row>
    <row r="1908" spans="2:3" hidden="1">
      <c r="B1908" s="61">
        <v>1546</v>
      </c>
      <c r="C1908" s="56" t="s">
        <v>188</v>
      </c>
    </row>
    <row r="1909" spans="2:3" hidden="1">
      <c r="B1909" s="61">
        <v>1545</v>
      </c>
      <c r="C1909" s="56" t="s">
        <v>188</v>
      </c>
    </row>
    <row r="1910" spans="2:3" hidden="1">
      <c r="B1910" s="61">
        <v>4744</v>
      </c>
      <c r="C1910" s="56" t="s">
        <v>190</v>
      </c>
    </row>
    <row r="1911" spans="2:3" hidden="1">
      <c r="B1911" s="61">
        <v>4743</v>
      </c>
      <c r="C1911" s="56" t="s">
        <v>190</v>
      </c>
    </row>
    <row r="1912" spans="2:3" hidden="1">
      <c r="B1912" s="61">
        <v>4742</v>
      </c>
      <c r="C1912" s="56" t="s">
        <v>190</v>
      </c>
    </row>
    <row r="1913" spans="2:3" hidden="1">
      <c r="B1913" s="61">
        <v>4741</v>
      </c>
      <c r="C1913" s="56" t="s">
        <v>190</v>
      </c>
    </row>
    <row r="1914" spans="2:3" hidden="1">
      <c r="B1914" s="61">
        <v>4734</v>
      </c>
      <c r="C1914" s="56" t="s">
        <v>190</v>
      </c>
    </row>
    <row r="1915" spans="2:3" hidden="1">
      <c r="B1915" s="61">
        <v>4733</v>
      </c>
      <c r="C1915" s="56" t="s">
        <v>190</v>
      </c>
    </row>
    <row r="1916" spans="2:3" hidden="1">
      <c r="B1916" s="61">
        <v>4732</v>
      </c>
      <c r="C1916" s="56" t="s">
        <v>190</v>
      </c>
    </row>
    <row r="1917" spans="2:3" hidden="1">
      <c r="B1917" s="61">
        <v>4731</v>
      </c>
      <c r="C1917" s="56" t="s">
        <v>190</v>
      </c>
    </row>
    <row r="1918" spans="2:3" hidden="1">
      <c r="B1918" s="61">
        <v>4724</v>
      </c>
      <c r="C1918" s="56" t="s">
        <v>190</v>
      </c>
    </row>
    <row r="1919" spans="2:3" hidden="1">
      <c r="B1919" s="61">
        <v>4723</v>
      </c>
      <c r="C1919" s="56" t="s">
        <v>190</v>
      </c>
    </row>
    <row r="1920" spans="2:3" hidden="1">
      <c r="B1920" s="61">
        <v>4722</v>
      </c>
      <c r="C1920" s="56" t="s">
        <v>190</v>
      </c>
    </row>
    <row r="1921" spans="2:3" hidden="1">
      <c r="B1921" s="61">
        <v>4721</v>
      </c>
      <c r="C1921" s="56" t="s">
        <v>190</v>
      </c>
    </row>
    <row r="1922" spans="2:3" hidden="1">
      <c r="B1922" s="61">
        <v>4714</v>
      </c>
      <c r="C1922" s="56" t="s">
        <v>190</v>
      </c>
    </row>
    <row r="1923" spans="2:3" hidden="1">
      <c r="B1923" s="61">
        <v>4713</v>
      </c>
      <c r="C1923" s="56" t="s">
        <v>190</v>
      </c>
    </row>
    <row r="1924" spans="2:3" hidden="1">
      <c r="B1924" s="61">
        <v>4712</v>
      </c>
      <c r="C1924" s="56" t="s">
        <v>190</v>
      </c>
    </row>
    <row r="1925" spans="2:3" hidden="1">
      <c r="B1925" s="61">
        <v>4711</v>
      </c>
      <c r="C1925" s="56" t="s">
        <v>190</v>
      </c>
    </row>
    <row r="1926" spans="2:3" hidden="1">
      <c r="B1926" s="61">
        <v>4644</v>
      </c>
      <c r="C1926" s="56" t="s">
        <v>190</v>
      </c>
    </row>
    <row r="1927" spans="2:3" hidden="1">
      <c r="B1927" s="61">
        <v>4643</v>
      </c>
      <c r="C1927" s="56" t="s">
        <v>190</v>
      </c>
    </row>
    <row r="1928" spans="2:3" hidden="1">
      <c r="B1928" s="61">
        <v>4642</v>
      </c>
      <c r="C1928" s="56" t="s">
        <v>190</v>
      </c>
    </row>
    <row r="1929" spans="2:3" hidden="1">
      <c r="B1929" s="61">
        <v>4641</v>
      </c>
      <c r="C1929" s="56" t="s">
        <v>190</v>
      </c>
    </row>
    <row r="1930" spans="2:3" hidden="1">
      <c r="B1930" s="61">
        <v>4634</v>
      </c>
      <c r="C1930" s="56" t="s">
        <v>190</v>
      </c>
    </row>
    <row r="1931" spans="2:3" hidden="1">
      <c r="B1931" s="61">
        <v>4633</v>
      </c>
      <c r="C1931" s="56" t="s">
        <v>190</v>
      </c>
    </row>
    <row r="1932" spans="2:3" hidden="1">
      <c r="B1932" s="61">
        <v>4632</v>
      </c>
      <c r="C1932" s="56" t="s">
        <v>190</v>
      </c>
    </row>
    <row r="1933" spans="2:3" hidden="1">
      <c r="B1933" s="61">
        <v>4631</v>
      </c>
      <c r="C1933" s="56" t="s">
        <v>190</v>
      </c>
    </row>
    <row r="1934" spans="2:3" hidden="1">
      <c r="B1934" s="61">
        <v>4624</v>
      </c>
      <c r="C1934" s="56" t="s">
        <v>190</v>
      </c>
    </row>
    <row r="1935" spans="2:3" hidden="1">
      <c r="B1935" s="61">
        <v>4623</v>
      </c>
      <c r="C1935" s="56" t="s">
        <v>190</v>
      </c>
    </row>
    <row r="1936" spans="2:3" hidden="1">
      <c r="B1936" s="61">
        <v>4622</v>
      </c>
      <c r="C1936" s="56" t="s">
        <v>190</v>
      </c>
    </row>
    <row r="1937" spans="2:3" hidden="1">
      <c r="B1937" s="61">
        <v>4621</v>
      </c>
      <c r="C1937" s="56" t="s">
        <v>190</v>
      </c>
    </row>
    <row r="1938" spans="2:3" hidden="1">
      <c r="B1938" s="61">
        <v>4614</v>
      </c>
      <c r="C1938" s="56" t="s">
        <v>190</v>
      </c>
    </row>
    <row r="1939" spans="2:3" hidden="1">
      <c r="B1939" s="61">
        <v>4613</v>
      </c>
      <c r="C1939" s="56" t="s">
        <v>190</v>
      </c>
    </row>
    <row r="1940" spans="2:3" hidden="1">
      <c r="B1940" s="61">
        <v>4612</v>
      </c>
      <c r="C1940" s="56" t="s">
        <v>190</v>
      </c>
    </row>
    <row r="1941" spans="2:3" hidden="1">
      <c r="B1941" s="61">
        <v>4611</v>
      </c>
      <c r="C1941" s="56" t="s">
        <v>190</v>
      </c>
    </row>
    <row r="1942" spans="2:3" hidden="1">
      <c r="B1942" s="61">
        <v>4534</v>
      </c>
      <c r="C1942" s="56" t="s">
        <v>190</v>
      </c>
    </row>
    <row r="1943" spans="2:3" hidden="1">
      <c r="B1943" s="61">
        <v>4533</v>
      </c>
      <c r="C1943" s="56" t="s">
        <v>190</v>
      </c>
    </row>
    <row r="1944" spans="2:3" hidden="1">
      <c r="B1944" s="61">
        <v>4532</v>
      </c>
      <c r="C1944" s="56" t="s">
        <v>190</v>
      </c>
    </row>
    <row r="1945" spans="2:3" hidden="1">
      <c r="B1945" s="61">
        <v>4531</v>
      </c>
      <c r="C1945" s="56" t="s">
        <v>190</v>
      </c>
    </row>
    <row r="1946" spans="2:3" hidden="1">
      <c r="B1946" s="61">
        <v>4524</v>
      </c>
      <c r="C1946" s="56" t="s">
        <v>190</v>
      </c>
    </row>
    <row r="1947" spans="2:3" hidden="1">
      <c r="B1947" s="61">
        <v>4523</v>
      </c>
      <c r="C1947" s="56" t="s">
        <v>190</v>
      </c>
    </row>
    <row r="1948" spans="2:3" hidden="1">
      <c r="B1948" s="61">
        <v>4522</v>
      </c>
      <c r="C1948" s="56" t="s">
        <v>190</v>
      </c>
    </row>
    <row r="1949" spans="2:3" hidden="1">
      <c r="B1949" s="61">
        <v>4521</v>
      </c>
      <c r="C1949" s="56" t="s">
        <v>190</v>
      </c>
    </row>
    <row r="1950" spans="2:3" hidden="1">
      <c r="B1950" s="61">
        <v>4514</v>
      </c>
      <c r="C1950" s="56" t="s">
        <v>190</v>
      </c>
    </row>
    <row r="1951" spans="2:3" hidden="1">
      <c r="B1951" s="61">
        <v>4513</v>
      </c>
      <c r="C1951" s="56" t="s">
        <v>190</v>
      </c>
    </row>
    <row r="1952" spans="2:3" hidden="1">
      <c r="B1952" s="61">
        <v>4512</v>
      </c>
      <c r="C1952" s="56" t="s">
        <v>190</v>
      </c>
    </row>
    <row r="1953" spans="2:3" hidden="1">
      <c r="B1953" s="61">
        <v>4511</v>
      </c>
      <c r="C1953" s="56" t="s">
        <v>190</v>
      </c>
    </row>
    <row r="1954" spans="2:3" hidden="1">
      <c r="B1954" s="61">
        <v>3744</v>
      </c>
      <c r="C1954" s="56" t="s">
        <v>190</v>
      </c>
    </row>
    <row r="1955" spans="2:3" hidden="1">
      <c r="B1955" s="61">
        <v>3743</v>
      </c>
      <c r="C1955" s="56" t="s">
        <v>190</v>
      </c>
    </row>
    <row r="1956" spans="2:3" hidden="1">
      <c r="B1956" s="61">
        <v>3742</v>
      </c>
      <c r="C1956" s="56" t="s">
        <v>190</v>
      </c>
    </row>
    <row r="1957" spans="2:3" hidden="1">
      <c r="B1957" s="61">
        <v>3741</v>
      </c>
      <c r="C1957" s="56" t="s">
        <v>190</v>
      </c>
    </row>
    <row r="1958" spans="2:3" hidden="1">
      <c r="B1958" s="61">
        <v>3734</v>
      </c>
      <c r="C1958" s="56" t="s">
        <v>190</v>
      </c>
    </row>
    <row r="1959" spans="2:3" hidden="1">
      <c r="B1959" s="61">
        <v>3733</v>
      </c>
      <c r="C1959" s="56" t="s">
        <v>190</v>
      </c>
    </row>
    <row r="1960" spans="2:3" hidden="1">
      <c r="B1960" s="61">
        <v>3732</v>
      </c>
      <c r="C1960" s="56" t="s">
        <v>190</v>
      </c>
    </row>
    <row r="1961" spans="2:3" hidden="1">
      <c r="B1961" s="61">
        <v>3731</v>
      </c>
      <c r="C1961" s="56" t="s">
        <v>190</v>
      </c>
    </row>
    <row r="1962" spans="2:3" hidden="1">
      <c r="B1962" s="61">
        <v>3724</v>
      </c>
      <c r="C1962" s="56" t="s">
        <v>190</v>
      </c>
    </row>
    <row r="1963" spans="2:3" hidden="1">
      <c r="B1963" s="61">
        <v>3723</v>
      </c>
      <c r="C1963" s="56" t="s">
        <v>190</v>
      </c>
    </row>
    <row r="1964" spans="2:3" hidden="1">
      <c r="B1964" s="61">
        <v>3722</v>
      </c>
      <c r="C1964" s="56" t="s">
        <v>190</v>
      </c>
    </row>
    <row r="1965" spans="2:3" hidden="1">
      <c r="B1965" s="61">
        <v>3721</v>
      </c>
      <c r="C1965" s="56" t="s">
        <v>190</v>
      </c>
    </row>
    <row r="1966" spans="2:3" hidden="1">
      <c r="B1966" s="61">
        <v>3714</v>
      </c>
      <c r="C1966" s="56" t="s">
        <v>190</v>
      </c>
    </row>
    <row r="1967" spans="2:3" hidden="1">
      <c r="B1967" s="61">
        <v>3713</v>
      </c>
      <c r="C1967" s="56" t="s">
        <v>190</v>
      </c>
    </row>
    <row r="1968" spans="2:3" hidden="1">
      <c r="B1968" s="61">
        <v>3712</v>
      </c>
      <c r="C1968" s="56" t="s">
        <v>190</v>
      </c>
    </row>
    <row r="1969" spans="2:3" hidden="1">
      <c r="B1969" s="61">
        <v>3711</v>
      </c>
      <c r="C1969" s="56" t="s">
        <v>190</v>
      </c>
    </row>
    <row r="1970" spans="2:3" hidden="1">
      <c r="B1970" s="61">
        <v>3644</v>
      </c>
      <c r="C1970" s="56" t="s">
        <v>190</v>
      </c>
    </row>
    <row r="1971" spans="2:3" hidden="1">
      <c r="B1971" s="61">
        <v>3643</v>
      </c>
      <c r="C1971" s="56" t="s">
        <v>190</v>
      </c>
    </row>
    <row r="1972" spans="2:3" hidden="1">
      <c r="B1972" s="61">
        <v>3642</v>
      </c>
      <c r="C1972" s="56" t="s">
        <v>190</v>
      </c>
    </row>
    <row r="1973" spans="2:3" hidden="1">
      <c r="B1973" s="61">
        <v>3641</v>
      </c>
      <c r="C1973" s="56" t="s">
        <v>190</v>
      </c>
    </row>
    <row r="1974" spans="2:3" hidden="1">
      <c r="B1974" s="61">
        <v>3634</v>
      </c>
      <c r="C1974" s="56" t="s">
        <v>190</v>
      </c>
    </row>
    <row r="1975" spans="2:3" hidden="1">
      <c r="B1975" s="61">
        <v>3633</v>
      </c>
      <c r="C1975" s="56" t="s">
        <v>190</v>
      </c>
    </row>
    <row r="1976" spans="2:3" hidden="1">
      <c r="B1976" s="61">
        <v>3632</v>
      </c>
      <c r="C1976" s="56" t="s">
        <v>190</v>
      </c>
    </row>
    <row r="1977" spans="2:3" hidden="1">
      <c r="B1977" s="61">
        <v>3631</v>
      </c>
      <c r="C1977" s="56" t="s">
        <v>190</v>
      </c>
    </row>
    <row r="1978" spans="2:3" hidden="1">
      <c r="B1978" s="61">
        <v>3624</v>
      </c>
      <c r="C1978" s="56" t="s">
        <v>190</v>
      </c>
    </row>
    <row r="1979" spans="2:3" hidden="1">
      <c r="B1979" s="61">
        <v>3623</v>
      </c>
      <c r="C1979" s="56" t="s">
        <v>190</v>
      </c>
    </row>
    <row r="1980" spans="2:3" hidden="1">
      <c r="B1980" s="61">
        <v>3622</v>
      </c>
      <c r="C1980" s="56" t="s">
        <v>190</v>
      </c>
    </row>
    <row r="1981" spans="2:3" hidden="1">
      <c r="B1981" s="61">
        <v>3621</v>
      </c>
      <c r="C1981" s="56" t="s">
        <v>190</v>
      </c>
    </row>
    <row r="1982" spans="2:3" hidden="1">
      <c r="B1982" s="61">
        <v>3614</v>
      </c>
      <c r="C1982" s="56" t="s">
        <v>190</v>
      </c>
    </row>
    <row r="1983" spans="2:3" hidden="1">
      <c r="B1983" s="61">
        <v>3613</v>
      </c>
      <c r="C1983" s="56" t="s">
        <v>190</v>
      </c>
    </row>
    <row r="1984" spans="2:3" hidden="1">
      <c r="B1984" s="61">
        <v>3612</v>
      </c>
      <c r="C1984" s="56" t="s">
        <v>190</v>
      </c>
    </row>
    <row r="1985" spans="2:3" hidden="1">
      <c r="B1985" s="61">
        <v>3611</v>
      </c>
      <c r="C1985" s="56" t="s">
        <v>190</v>
      </c>
    </row>
    <row r="1986" spans="2:3" hidden="1">
      <c r="B1986" s="61">
        <v>3544</v>
      </c>
      <c r="C1986" s="56" t="s">
        <v>190</v>
      </c>
    </row>
    <row r="1987" spans="2:3" hidden="1">
      <c r="B1987" s="61">
        <v>3543</v>
      </c>
      <c r="C1987" s="56" t="s">
        <v>190</v>
      </c>
    </row>
    <row r="1988" spans="2:3" hidden="1">
      <c r="B1988" s="61">
        <v>3542</v>
      </c>
      <c r="C1988" s="56" t="s">
        <v>190</v>
      </c>
    </row>
    <row r="1989" spans="2:3" hidden="1">
      <c r="B1989" s="61">
        <v>3541</v>
      </c>
      <c r="C1989" s="56" t="s">
        <v>190</v>
      </c>
    </row>
    <row r="1990" spans="2:3" hidden="1">
      <c r="B1990" s="61">
        <v>3534</v>
      </c>
      <c r="C1990" s="56" t="s">
        <v>190</v>
      </c>
    </row>
    <row r="1991" spans="2:3" hidden="1">
      <c r="B1991" s="61">
        <v>3533</v>
      </c>
      <c r="C1991" s="56" t="s">
        <v>190</v>
      </c>
    </row>
    <row r="1992" spans="2:3" hidden="1">
      <c r="B1992" s="61">
        <v>3532</v>
      </c>
      <c r="C1992" s="56" t="s">
        <v>190</v>
      </c>
    </row>
    <row r="1993" spans="2:3" hidden="1">
      <c r="B1993" s="61">
        <v>3531</v>
      </c>
      <c r="C1993" s="56" t="s">
        <v>190</v>
      </c>
    </row>
    <row r="1994" spans="2:3" hidden="1">
      <c r="B1994" s="61">
        <v>3524</v>
      </c>
      <c r="C1994" s="56" t="s">
        <v>190</v>
      </c>
    </row>
    <row r="1995" spans="2:3" hidden="1">
      <c r="B1995" s="61">
        <v>3523</v>
      </c>
      <c r="C1995" s="56" t="s">
        <v>190</v>
      </c>
    </row>
    <row r="1996" spans="2:3" hidden="1">
      <c r="B1996" s="61">
        <v>3522</v>
      </c>
      <c r="C1996" s="56" t="s">
        <v>190</v>
      </c>
    </row>
    <row r="1997" spans="2:3" hidden="1">
      <c r="B1997" s="61">
        <v>3521</v>
      </c>
      <c r="C1997" s="56" t="s">
        <v>190</v>
      </c>
    </row>
    <row r="1998" spans="2:3" hidden="1">
      <c r="B1998" s="61">
        <v>3514</v>
      </c>
      <c r="C1998" s="56" t="s">
        <v>190</v>
      </c>
    </row>
    <row r="1999" spans="2:3" hidden="1">
      <c r="B1999" s="61">
        <v>3513</v>
      </c>
      <c r="C1999" s="56" t="s">
        <v>190</v>
      </c>
    </row>
    <row r="2000" spans="2:3" hidden="1">
      <c r="B2000" s="61">
        <v>3512</v>
      </c>
      <c r="C2000" s="56" t="s">
        <v>190</v>
      </c>
    </row>
    <row r="2001" spans="2:3" hidden="1">
      <c r="B2001" s="61">
        <v>3511</v>
      </c>
      <c r="C2001" s="56" t="s">
        <v>190</v>
      </c>
    </row>
    <row r="2002" spans="2:3" hidden="1">
      <c r="B2002" s="61">
        <v>2744</v>
      </c>
      <c r="C2002" s="56" t="s">
        <v>190</v>
      </c>
    </row>
    <row r="2003" spans="2:3" hidden="1">
      <c r="B2003" s="61">
        <v>2743</v>
      </c>
      <c r="C2003" s="56" t="s">
        <v>190</v>
      </c>
    </row>
    <row r="2004" spans="2:3" hidden="1">
      <c r="B2004" s="61">
        <v>2742</v>
      </c>
      <c r="C2004" s="56" t="s">
        <v>190</v>
      </c>
    </row>
    <row r="2005" spans="2:3" hidden="1">
      <c r="B2005" s="61">
        <v>2741</v>
      </c>
      <c r="C2005" s="56" t="s">
        <v>190</v>
      </c>
    </row>
    <row r="2006" spans="2:3" hidden="1">
      <c r="B2006" s="61">
        <v>2734</v>
      </c>
      <c r="C2006" s="56" t="s">
        <v>190</v>
      </c>
    </row>
    <row r="2007" spans="2:3" hidden="1">
      <c r="B2007" s="61">
        <v>2733</v>
      </c>
      <c r="C2007" s="56" t="s">
        <v>190</v>
      </c>
    </row>
    <row r="2008" spans="2:3" hidden="1">
      <c r="B2008" s="61">
        <v>2732</v>
      </c>
      <c r="C2008" s="56" t="s">
        <v>190</v>
      </c>
    </row>
    <row r="2009" spans="2:3" hidden="1">
      <c r="B2009" s="61">
        <v>2731</v>
      </c>
      <c r="C2009" s="56" t="s">
        <v>190</v>
      </c>
    </row>
    <row r="2010" spans="2:3" hidden="1">
      <c r="B2010" s="61">
        <v>2724</v>
      </c>
      <c r="C2010" s="56" t="s">
        <v>190</v>
      </c>
    </row>
    <row r="2011" spans="2:3" hidden="1">
      <c r="B2011" s="61">
        <v>2723</v>
      </c>
      <c r="C2011" s="56" t="s">
        <v>190</v>
      </c>
    </row>
    <row r="2012" spans="2:3" hidden="1">
      <c r="B2012" s="61">
        <v>2722</v>
      </c>
      <c r="C2012" s="56" t="s">
        <v>190</v>
      </c>
    </row>
    <row r="2013" spans="2:3" hidden="1">
      <c r="B2013" s="61">
        <v>2721</v>
      </c>
      <c r="C2013" s="56" t="s">
        <v>190</v>
      </c>
    </row>
    <row r="2014" spans="2:3" hidden="1">
      <c r="B2014" s="61">
        <v>2714</v>
      </c>
      <c r="C2014" s="56" t="s">
        <v>190</v>
      </c>
    </row>
    <row r="2015" spans="2:3" hidden="1">
      <c r="B2015" s="61">
        <v>2713</v>
      </c>
      <c r="C2015" s="56" t="s">
        <v>190</v>
      </c>
    </row>
    <row r="2016" spans="2:3" hidden="1">
      <c r="B2016" s="61">
        <v>2712</v>
      </c>
      <c r="C2016" s="56" t="s">
        <v>190</v>
      </c>
    </row>
    <row r="2017" spans="2:3" hidden="1">
      <c r="B2017" s="61">
        <v>2711</v>
      </c>
      <c r="C2017" s="56" t="s">
        <v>190</v>
      </c>
    </row>
    <row r="2018" spans="2:3" hidden="1">
      <c r="B2018" s="61">
        <v>2644</v>
      </c>
      <c r="C2018" s="56" t="s">
        <v>190</v>
      </c>
    </row>
    <row r="2019" spans="2:3" hidden="1">
      <c r="B2019" s="61">
        <v>2643</v>
      </c>
      <c r="C2019" s="56" t="s">
        <v>190</v>
      </c>
    </row>
    <row r="2020" spans="2:3" hidden="1">
      <c r="B2020" s="61">
        <v>2642</v>
      </c>
      <c r="C2020" s="56" t="s">
        <v>190</v>
      </c>
    </row>
    <row r="2021" spans="2:3" hidden="1">
      <c r="B2021" s="61">
        <v>2641</v>
      </c>
      <c r="C2021" s="56" t="s">
        <v>190</v>
      </c>
    </row>
    <row r="2022" spans="2:3" hidden="1">
      <c r="B2022" s="61">
        <v>2634</v>
      </c>
      <c r="C2022" s="56" t="s">
        <v>190</v>
      </c>
    </row>
    <row r="2023" spans="2:3" hidden="1">
      <c r="B2023" s="61">
        <v>2633</v>
      </c>
      <c r="C2023" s="56" t="s">
        <v>190</v>
      </c>
    </row>
    <row r="2024" spans="2:3" hidden="1">
      <c r="B2024" s="61">
        <v>2632</v>
      </c>
      <c r="C2024" s="56" t="s">
        <v>190</v>
      </c>
    </row>
    <row r="2025" spans="2:3" hidden="1">
      <c r="B2025" s="61">
        <v>2631</v>
      </c>
      <c r="C2025" s="56" t="s">
        <v>190</v>
      </c>
    </row>
    <row r="2026" spans="2:3" hidden="1">
      <c r="B2026" s="61">
        <v>2624</v>
      </c>
      <c r="C2026" s="56" t="s">
        <v>190</v>
      </c>
    </row>
    <row r="2027" spans="2:3" hidden="1">
      <c r="B2027" s="61">
        <v>2623</v>
      </c>
      <c r="C2027" s="56" t="s">
        <v>190</v>
      </c>
    </row>
    <row r="2028" spans="2:3" hidden="1">
      <c r="B2028" s="61">
        <v>2622</v>
      </c>
      <c r="C2028" s="56" t="s">
        <v>190</v>
      </c>
    </row>
    <row r="2029" spans="2:3" hidden="1">
      <c r="B2029" s="61">
        <v>2621</v>
      </c>
      <c r="C2029" s="56" t="s">
        <v>190</v>
      </c>
    </row>
    <row r="2030" spans="2:3" hidden="1">
      <c r="B2030" s="61">
        <v>2614</v>
      </c>
      <c r="C2030" s="56" t="s">
        <v>190</v>
      </c>
    </row>
    <row r="2031" spans="2:3" hidden="1">
      <c r="B2031" s="61">
        <v>2613</v>
      </c>
      <c r="C2031" s="56" t="s">
        <v>190</v>
      </c>
    </row>
    <row r="2032" spans="2:3" hidden="1">
      <c r="B2032" s="61">
        <v>2612</v>
      </c>
      <c r="C2032" s="56" t="s">
        <v>190</v>
      </c>
    </row>
    <row r="2033" spans="2:3" hidden="1">
      <c r="B2033" s="61">
        <v>2611</v>
      </c>
      <c r="C2033" s="56" t="s">
        <v>190</v>
      </c>
    </row>
    <row r="2034" spans="2:3" hidden="1">
      <c r="B2034" s="61">
        <v>2544</v>
      </c>
      <c r="C2034" s="56" t="s">
        <v>190</v>
      </c>
    </row>
    <row r="2035" spans="2:3" hidden="1">
      <c r="B2035" s="61">
        <v>2543</v>
      </c>
      <c r="C2035" s="56" t="s">
        <v>190</v>
      </c>
    </row>
    <row r="2036" spans="2:3" hidden="1">
      <c r="B2036" s="61">
        <v>2542</v>
      </c>
      <c r="C2036" s="56" t="s">
        <v>190</v>
      </c>
    </row>
    <row r="2037" spans="2:3" hidden="1">
      <c r="B2037" s="61">
        <v>2541</v>
      </c>
      <c r="C2037" s="56" t="s">
        <v>190</v>
      </c>
    </row>
    <row r="2038" spans="2:3" hidden="1">
      <c r="B2038" s="61">
        <v>2534</v>
      </c>
      <c r="C2038" s="56" t="s">
        <v>190</v>
      </c>
    </row>
    <row r="2039" spans="2:3" hidden="1">
      <c r="B2039" s="61">
        <v>2533</v>
      </c>
      <c r="C2039" s="56" t="s">
        <v>190</v>
      </c>
    </row>
    <row r="2040" spans="2:3" hidden="1">
      <c r="B2040" s="61">
        <v>2532</v>
      </c>
      <c r="C2040" s="56" t="s">
        <v>190</v>
      </c>
    </row>
    <row r="2041" spans="2:3" hidden="1">
      <c r="B2041" s="61">
        <v>2531</v>
      </c>
      <c r="C2041" s="56" t="s">
        <v>190</v>
      </c>
    </row>
    <row r="2042" spans="2:3" hidden="1">
      <c r="B2042" s="61">
        <v>2524</v>
      </c>
      <c r="C2042" s="56" t="s">
        <v>190</v>
      </c>
    </row>
    <row r="2043" spans="2:3" hidden="1">
      <c r="B2043" s="61">
        <v>2523</v>
      </c>
      <c r="C2043" s="56" t="s">
        <v>190</v>
      </c>
    </row>
    <row r="2044" spans="2:3" hidden="1">
      <c r="B2044" s="61">
        <v>2522</v>
      </c>
      <c r="C2044" s="56" t="s">
        <v>190</v>
      </c>
    </row>
    <row r="2045" spans="2:3" hidden="1">
      <c r="B2045" s="61">
        <v>2521</v>
      </c>
      <c r="C2045" s="56" t="s">
        <v>190</v>
      </c>
    </row>
    <row r="2046" spans="2:3" hidden="1">
      <c r="B2046" s="61">
        <v>2514</v>
      </c>
      <c r="C2046" s="56" t="s">
        <v>190</v>
      </c>
    </row>
    <row r="2047" spans="2:3" hidden="1">
      <c r="B2047" s="61">
        <v>2513</v>
      </c>
      <c r="C2047" s="56" t="s">
        <v>190</v>
      </c>
    </row>
    <row r="2048" spans="2:3" hidden="1">
      <c r="B2048" s="61">
        <v>2512</v>
      </c>
      <c r="C2048" s="56" t="s">
        <v>190</v>
      </c>
    </row>
    <row r="2049" spans="2:3" hidden="1">
      <c r="B2049" s="61">
        <v>2511</v>
      </c>
      <c r="C2049" s="56" t="s">
        <v>190</v>
      </c>
    </row>
    <row r="2050" spans="2:3" hidden="1">
      <c r="B2050" s="61">
        <v>1744</v>
      </c>
      <c r="C2050" s="56" t="s">
        <v>190</v>
      </c>
    </row>
    <row r="2051" spans="2:3" hidden="1">
      <c r="B2051" s="61">
        <v>1743</v>
      </c>
      <c r="C2051" s="56" t="s">
        <v>190</v>
      </c>
    </row>
    <row r="2052" spans="2:3" hidden="1">
      <c r="B2052" s="61">
        <v>1742</v>
      </c>
      <c r="C2052" s="56" t="s">
        <v>190</v>
      </c>
    </row>
    <row r="2053" spans="2:3" hidden="1">
      <c r="B2053" s="61">
        <v>1741</v>
      </c>
      <c r="C2053" s="56" t="s">
        <v>190</v>
      </c>
    </row>
    <row r="2054" spans="2:3" hidden="1">
      <c r="B2054" s="61">
        <v>1734</v>
      </c>
      <c r="C2054" s="56" t="s">
        <v>190</v>
      </c>
    </row>
    <row r="2055" spans="2:3" hidden="1">
      <c r="B2055" s="61">
        <v>1733</v>
      </c>
      <c r="C2055" s="56" t="s">
        <v>190</v>
      </c>
    </row>
    <row r="2056" spans="2:3" hidden="1">
      <c r="B2056" s="61">
        <v>1732</v>
      </c>
      <c r="C2056" s="56" t="s">
        <v>190</v>
      </c>
    </row>
    <row r="2057" spans="2:3" hidden="1">
      <c r="B2057" s="61">
        <v>1731</v>
      </c>
      <c r="C2057" s="56" t="s">
        <v>190</v>
      </c>
    </row>
    <row r="2058" spans="2:3" hidden="1">
      <c r="B2058" s="61">
        <v>1724</v>
      </c>
      <c r="C2058" s="56" t="s">
        <v>190</v>
      </c>
    </row>
    <row r="2059" spans="2:3" hidden="1">
      <c r="B2059" s="61">
        <v>1723</v>
      </c>
      <c r="C2059" s="56" t="s">
        <v>190</v>
      </c>
    </row>
    <row r="2060" spans="2:3" hidden="1">
      <c r="B2060" s="61">
        <v>1722</v>
      </c>
      <c r="C2060" s="56" t="s">
        <v>190</v>
      </c>
    </row>
    <row r="2061" spans="2:3" hidden="1">
      <c r="B2061" s="61">
        <v>1721</v>
      </c>
      <c r="C2061" s="56" t="s">
        <v>190</v>
      </c>
    </row>
    <row r="2062" spans="2:3" hidden="1">
      <c r="B2062" s="61">
        <v>1714</v>
      </c>
      <c r="C2062" s="56" t="s">
        <v>190</v>
      </c>
    </row>
    <row r="2063" spans="2:3" hidden="1">
      <c r="B2063" s="61">
        <v>1713</v>
      </c>
      <c r="C2063" s="56" t="s">
        <v>190</v>
      </c>
    </row>
    <row r="2064" spans="2:3" hidden="1">
      <c r="B2064" s="61">
        <v>1712</v>
      </c>
      <c r="C2064" s="56" t="s">
        <v>190</v>
      </c>
    </row>
    <row r="2065" spans="2:3" hidden="1">
      <c r="B2065" s="61">
        <v>1711</v>
      </c>
      <c r="C2065" s="56" t="s">
        <v>190</v>
      </c>
    </row>
    <row r="2066" spans="2:3" hidden="1">
      <c r="B2066" s="61">
        <v>1644</v>
      </c>
      <c r="C2066" s="56" t="s">
        <v>190</v>
      </c>
    </row>
    <row r="2067" spans="2:3" hidden="1">
      <c r="B2067" s="61">
        <v>1643</v>
      </c>
      <c r="C2067" s="56" t="s">
        <v>190</v>
      </c>
    </row>
    <row r="2068" spans="2:3" hidden="1">
      <c r="B2068" s="61">
        <v>1642</v>
      </c>
      <c r="C2068" s="56" t="s">
        <v>190</v>
      </c>
    </row>
    <row r="2069" spans="2:3" hidden="1">
      <c r="B2069" s="61">
        <v>1641</v>
      </c>
      <c r="C2069" s="56" t="s">
        <v>190</v>
      </c>
    </row>
    <row r="2070" spans="2:3" hidden="1">
      <c r="B2070" s="61">
        <v>1634</v>
      </c>
      <c r="C2070" s="56" t="s">
        <v>190</v>
      </c>
    </row>
    <row r="2071" spans="2:3" hidden="1">
      <c r="B2071" s="61">
        <v>1633</v>
      </c>
      <c r="C2071" s="56" t="s">
        <v>190</v>
      </c>
    </row>
    <row r="2072" spans="2:3" hidden="1">
      <c r="B2072" s="61">
        <v>1632</v>
      </c>
      <c r="C2072" s="56" t="s">
        <v>190</v>
      </c>
    </row>
    <row r="2073" spans="2:3" hidden="1">
      <c r="B2073" s="61">
        <v>1631</v>
      </c>
      <c r="C2073" s="56" t="s">
        <v>190</v>
      </c>
    </row>
    <row r="2074" spans="2:3" hidden="1">
      <c r="B2074" s="61">
        <v>1624</v>
      </c>
      <c r="C2074" s="56" t="s">
        <v>190</v>
      </c>
    </row>
    <row r="2075" spans="2:3" hidden="1">
      <c r="B2075" s="61">
        <v>1623</v>
      </c>
      <c r="C2075" s="56" t="s">
        <v>190</v>
      </c>
    </row>
    <row r="2076" spans="2:3" hidden="1">
      <c r="B2076" s="61">
        <v>1622</v>
      </c>
      <c r="C2076" s="56" t="s">
        <v>190</v>
      </c>
    </row>
    <row r="2077" spans="2:3" hidden="1">
      <c r="B2077" s="61">
        <v>1621</v>
      </c>
      <c r="C2077" s="56" t="s">
        <v>190</v>
      </c>
    </row>
    <row r="2078" spans="2:3" hidden="1">
      <c r="B2078" s="61">
        <v>1614</v>
      </c>
      <c r="C2078" s="56" t="s">
        <v>190</v>
      </c>
    </row>
    <row r="2079" spans="2:3" hidden="1">
      <c r="B2079" s="61">
        <v>1613</v>
      </c>
      <c r="C2079" s="56" t="s">
        <v>190</v>
      </c>
    </row>
    <row r="2080" spans="2:3" hidden="1">
      <c r="B2080" s="61">
        <v>1612</v>
      </c>
      <c r="C2080" s="56" t="s">
        <v>190</v>
      </c>
    </row>
    <row r="2081" spans="2:3" hidden="1">
      <c r="B2081" s="61">
        <v>1611</v>
      </c>
      <c r="C2081" s="56" t="s">
        <v>190</v>
      </c>
    </row>
    <row r="2082" spans="2:3" hidden="1">
      <c r="B2082" s="61">
        <v>1544</v>
      </c>
      <c r="C2082" s="56" t="s">
        <v>190</v>
      </c>
    </row>
    <row r="2083" spans="2:3" hidden="1">
      <c r="B2083" s="61">
        <v>1543</v>
      </c>
      <c r="C2083" s="56" t="s">
        <v>190</v>
      </c>
    </row>
    <row r="2084" spans="2:3" hidden="1">
      <c r="B2084" s="61">
        <v>1542</v>
      </c>
      <c r="C2084" s="56" t="s">
        <v>190</v>
      </c>
    </row>
    <row r="2085" spans="2:3" hidden="1">
      <c r="B2085" s="61">
        <v>1541</v>
      </c>
      <c r="C2085" s="56" t="s">
        <v>190</v>
      </c>
    </row>
    <row r="2086" spans="2:3" hidden="1">
      <c r="B2086" s="61">
        <v>1534</v>
      </c>
      <c r="C2086" s="56" t="s">
        <v>190</v>
      </c>
    </row>
    <row r="2087" spans="2:3" hidden="1">
      <c r="B2087" s="61">
        <v>1533</v>
      </c>
      <c r="C2087" s="56" t="s">
        <v>190</v>
      </c>
    </row>
    <row r="2088" spans="2:3" hidden="1">
      <c r="B2088" s="61">
        <v>1532</v>
      </c>
      <c r="C2088" s="56" t="s">
        <v>190</v>
      </c>
    </row>
    <row r="2089" spans="2:3" hidden="1">
      <c r="B2089" s="61">
        <v>1531</v>
      </c>
      <c r="C2089" s="56" t="s">
        <v>190</v>
      </c>
    </row>
    <row r="2090" spans="2:3" hidden="1">
      <c r="B2090" s="61">
        <v>1524</v>
      </c>
      <c r="C2090" s="56" t="s">
        <v>190</v>
      </c>
    </row>
    <row r="2091" spans="2:3" hidden="1">
      <c r="B2091" s="61">
        <v>1523</v>
      </c>
      <c r="C2091" s="56" t="s">
        <v>190</v>
      </c>
    </row>
    <row r="2092" spans="2:3" hidden="1">
      <c r="B2092" s="61">
        <v>1522</v>
      </c>
      <c r="C2092" s="56" t="s">
        <v>190</v>
      </c>
    </row>
    <row r="2093" spans="2:3" hidden="1">
      <c r="B2093" s="61">
        <v>1521</v>
      </c>
      <c r="C2093" s="56" t="s">
        <v>190</v>
      </c>
    </row>
    <row r="2094" spans="2:3" hidden="1">
      <c r="B2094" s="61">
        <v>1514</v>
      </c>
      <c r="C2094" s="56" t="s">
        <v>190</v>
      </c>
    </row>
    <row r="2095" spans="2:3" hidden="1">
      <c r="B2095" s="61">
        <v>1513</v>
      </c>
      <c r="C2095" s="56" t="s">
        <v>190</v>
      </c>
    </row>
    <row r="2096" spans="2:3" hidden="1">
      <c r="B2096" s="61">
        <v>1512</v>
      </c>
      <c r="C2096" s="56" t="s">
        <v>190</v>
      </c>
    </row>
    <row r="2097" spans="2:3" hidden="1">
      <c r="B2097" s="61">
        <v>1511</v>
      </c>
      <c r="C2097" s="56" t="s">
        <v>190</v>
      </c>
    </row>
    <row r="2098" spans="2:3" hidden="1">
      <c r="B2098" s="61">
        <v>7674</v>
      </c>
      <c r="C2098" s="65" t="s">
        <v>191</v>
      </c>
    </row>
    <row r="2099" spans="2:3" hidden="1">
      <c r="B2099" s="61">
        <v>7673</v>
      </c>
      <c r="C2099" s="56" t="s">
        <v>191</v>
      </c>
    </row>
    <row r="2100" spans="2:3" hidden="1">
      <c r="B2100" s="61">
        <v>7672</v>
      </c>
      <c r="C2100" s="56" t="s">
        <v>191</v>
      </c>
    </row>
    <row r="2101" spans="2:3" hidden="1">
      <c r="B2101" s="61">
        <v>7671</v>
      </c>
      <c r="C2101" s="56" t="s">
        <v>191</v>
      </c>
    </row>
    <row r="2102" spans="2:3" hidden="1">
      <c r="B2102" s="61">
        <v>7574</v>
      </c>
      <c r="C2102" s="56" t="s">
        <v>191</v>
      </c>
    </row>
    <row r="2103" spans="2:3" hidden="1">
      <c r="B2103" s="61">
        <v>7573</v>
      </c>
      <c r="C2103" s="56" t="s">
        <v>191</v>
      </c>
    </row>
    <row r="2104" spans="2:3" hidden="1">
      <c r="B2104" s="61">
        <v>7572</v>
      </c>
      <c r="C2104" s="56" t="s">
        <v>191</v>
      </c>
    </row>
    <row r="2105" spans="2:3" hidden="1">
      <c r="B2105" s="61">
        <v>7571</v>
      </c>
      <c r="C2105" s="56" t="s">
        <v>191</v>
      </c>
    </row>
    <row r="2106" spans="2:3" hidden="1">
      <c r="B2106" s="61">
        <v>7564</v>
      </c>
      <c r="C2106" s="56" t="s">
        <v>191</v>
      </c>
    </row>
    <row r="2107" spans="2:3" hidden="1">
      <c r="B2107" s="61">
        <v>7563</v>
      </c>
      <c r="C2107" s="56" t="s">
        <v>191</v>
      </c>
    </row>
    <row r="2108" spans="2:3" hidden="1">
      <c r="B2108" s="61">
        <v>7562</v>
      </c>
      <c r="C2108" s="56" t="s">
        <v>191</v>
      </c>
    </row>
    <row r="2109" spans="2:3" hidden="1">
      <c r="B2109" s="61">
        <v>7561</v>
      </c>
      <c r="C2109" s="56" t="s">
        <v>191</v>
      </c>
    </row>
    <row r="2110" spans="2:3" hidden="1">
      <c r="B2110" s="61">
        <v>7474</v>
      </c>
      <c r="C2110" s="56" t="s">
        <v>191</v>
      </c>
    </row>
    <row r="2111" spans="2:3" hidden="1">
      <c r="B2111" s="61">
        <v>7473</v>
      </c>
      <c r="C2111" s="56" t="s">
        <v>191</v>
      </c>
    </row>
    <row r="2112" spans="2:3" hidden="1">
      <c r="B2112" s="61">
        <v>7472</v>
      </c>
      <c r="C2112" s="56" t="s">
        <v>191</v>
      </c>
    </row>
    <row r="2113" spans="2:3" hidden="1">
      <c r="B2113" s="61">
        <v>7471</v>
      </c>
      <c r="C2113" s="56" t="s">
        <v>191</v>
      </c>
    </row>
    <row r="2114" spans="2:3" hidden="1">
      <c r="B2114" s="61">
        <v>7464</v>
      </c>
      <c r="C2114" s="56" t="s">
        <v>191</v>
      </c>
    </row>
    <row r="2115" spans="2:3" hidden="1">
      <c r="B2115" s="61">
        <v>7463</v>
      </c>
      <c r="C2115" s="56" t="s">
        <v>191</v>
      </c>
    </row>
    <row r="2116" spans="2:3" hidden="1">
      <c r="B2116" s="61">
        <v>7462</v>
      </c>
      <c r="C2116" s="56" t="s">
        <v>191</v>
      </c>
    </row>
    <row r="2117" spans="2:3" hidden="1">
      <c r="B2117" s="61">
        <v>7461</v>
      </c>
      <c r="C2117" s="56" t="s">
        <v>191</v>
      </c>
    </row>
    <row r="2118" spans="2:3" hidden="1">
      <c r="B2118" s="61">
        <v>7454</v>
      </c>
      <c r="C2118" s="56" t="s">
        <v>191</v>
      </c>
    </row>
    <row r="2119" spans="2:3" hidden="1">
      <c r="B2119" s="61">
        <v>7453</v>
      </c>
      <c r="C2119" s="56" t="s">
        <v>191</v>
      </c>
    </row>
    <row r="2120" spans="2:3" hidden="1">
      <c r="B2120" s="61">
        <v>7452</v>
      </c>
      <c r="C2120" s="56" t="s">
        <v>191</v>
      </c>
    </row>
    <row r="2121" spans="2:3" hidden="1">
      <c r="B2121" s="61">
        <v>7451</v>
      </c>
      <c r="C2121" s="56" t="s">
        <v>191</v>
      </c>
    </row>
    <row r="2122" spans="2:3" hidden="1">
      <c r="B2122" s="61">
        <v>7374</v>
      </c>
      <c r="C2122" s="56" t="s">
        <v>191</v>
      </c>
    </row>
    <row r="2123" spans="2:3" hidden="1">
      <c r="B2123" s="61">
        <v>7373</v>
      </c>
      <c r="C2123" s="56" t="s">
        <v>191</v>
      </c>
    </row>
    <row r="2124" spans="2:3" hidden="1">
      <c r="B2124" s="61">
        <v>7372</v>
      </c>
      <c r="C2124" s="56" t="s">
        <v>191</v>
      </c>
    </row>
    <row r="2125" spans="2:3" hidden="1">
      <c r="B2125" s="61">
        <v>7371</v>
      </c>
      <c r="C2125" s="56" t="s">
        <v>191</v>
      </c>
    </row>
    <row r="2126" spans="2:3" hidden="1">
      <c r="B2126" s="61">
        <v>7364</v>
      </c>
      <c r="C2126" s="56" t="s">
        <v>191</v>
      </c>
    </row>
    <row r="2127" spans="2:3" hidden="1">
      <c r="B2127" s="61">
        <v>7363</v>
      </c>
      <c r="C2127" s="56" t="s">
        <v>191</v>
      </c>
    </row>
    <row r="2128" spans="2:3" hidden="1">
      <c r="B2128" s="61">
        <v>7362</v>
      </c>
      <c r="C2128" s="56" t="s">
        <v>191</v>
      </c>
    </row>
    <row r="2129" spans="2:3" hidden="1">
      <c r="B2129" s="61">
        <v>7361</v>
      </c>
      <c r="C2129" s="56" t="s">
        <v>191</v>
      </c>
    </row>
    <row r="2130" spans="2:3" hidden="1">
      <c r="B2130" s="61">
        <v>7354</v>
      </c>
      <c r="C2130" s="56" t="s">
        <v>191</v>
      </c>
    </row>
    <row r="2131" spans="2:3" hidden="1">
      <c r="B2131" s="61">
        <v>7353</v>
      </c>
      <c r="C2131" s="56" t="s">
        <v>191</v>
      </c>
    </row>
    <row r="2132" spans="2:3" hidden="1">
      <c r="B2132" s="61">
        <v>7352</v>
      </c>
      <c r="C2132" s="56" t="s">
        <v>191</v>
      </c>
    </row>
    <row r="2133" spans="2:3" hidden="1">
      <c r="B2133" s="61">
        <v>7351</v>
      </c>
      <c r="C2133" s="56" t="s">
        <v>191</v>
      </c>
    </row>
    <row r="2134" spans="2:3" hidden="1">
      <c r="B2134" s="61">
        <v>7274</v>
      </c>
      <c r="C2134" s="56" t="s">
        <v>191</v>
      </c>
    </row>
    <row r="2135" spans="2:3" hidden="1">
      <c r="B2135" s="61">
        <v>7273</v>
      </c>
      <c r="C2135" s="56" t="s">
        <v>191</v>
      </c>
    </row>
    <row r="2136" spans="2:3" hidden="1">
      <c r="B2136" s="61">
        <v>7272</v>
      </c>
      <c r="C2136" s="56" t="s">
        <v>191</v>
      </c>
    </row>
    <row r="2137" spans="2:3" hidden="1">
      <c r="B2137" s="61">
        <v>7271</v>
      </c>
      <c r="C2137" s="56" t="s">
        <v>191</v>
      </c>
    </row>
    <row r="2138" spans="2:3" hidden="1">
      <c r="B2138" s="61">
        <v>7264</v>
      </c>
      <c r="C2138" s="56" t="s">
        <v>191</v>
      </c>
    </row>
    <row r="2139" spans="2:3" hidden="1">
      <c r="B2139" s="61">
        <v>7263</v>
      </c>
      <c r="C2139" s="56" t="s">
        <v>191</v>
      </c>
    </row>
    <row r="2140" spans="2:3" hidden="1">
      <c r="B2140" s="61">
        <v>7262</v>
      </c>
      <c r="C2140" s="56" t="s">
        <v>191</v>
      </c>
    </row>
    <row r="2141" spans="2:3" hidden="1">
      <c r="B2141" s="61">
        <v>7261</v>
      </c>
      <c r="C2141" s="56" t="s">
        <v>191</v>
      </c>
    </row>
    <row r="2142" spans="2:3" hidden="1">
      <c r="B2142" s="61">
        <v>7254</v>
      </c>
      <c r="C2142" s="56" t="s">
        <v>191</v>
      </c>
    </row>
    <row r="2143" spans="2:3" hidden="1">
      <c r="B2143" s="61">
        <v>7253</v>
      </c>
      <c r="C2143" s="56" t="s">
        <v>191</v>
      </c>
    </row>
    <row r="2144" spans="2:3" hidden="1">
      <c r="B2144" s="61">
        <v>7252</v>
      </c>
      <c r="C2144" s="56" t="s">
        <v>191</v>
      </c>
    </row>
    <row r="2145" spans="2:3" hidden="1">
      <c r="B2145" s="61">
        <v>7251</v>
      </c>
      <c r="C2145" s="56" t="s">
        <v>191</v>
      </c>
    </row>
    <row r="2146" spans="2:3" hidden="1">
      <c r="B2146" s="61">
        <v>7174</v>
      </c>
      <c r="C2146" s="56" t="s">
        <v>191</v>
      </c>
    </row>
    <row r="2147" spans="2:3" hidden="1">
      <c r="B2147" s="61">
        <v>7173</v>
      </c>
      <c r="C2147" s="56" t="s">
        <v>191</v>
      </c>
    </row>
    <row r="2148" spans="2:3" hidden="1">
      <c r="B2148" s="61">
        <v>7172</v>
      </c>
      <c r="C2148" s="56" t="s">
        <v>191</v>
      </c>
    </row>
    <row r="2149" spans="2:3" hidden="1">
      <c r="B2149" s="61">
        <v>7171</v>
      </c>
      <c r="C2149" s="56" t="s">
        <v>191</v>
      </c>
    </row>
    <row r="2150" spans="2:3" hidden="1">
      <c r="B2150" s="61">
        <v>7164</v>
      </c>
      <c r="C2150" s="56" t="s">
        <v>191</v>
      </c>
    </row>
    <row r="2151" spans="2:3" hidden="1">
      <c r="B2151" s="61">
        <v>7163</v>
      </c>
      <c r="C2151" s="56" t="s">
        <v>191</v>
      </c>
    </row>
    <row r="2152" spans="2:3" hidden="1">
      <c r="B2152" s="61">
        <v>7162</v>
      </c>
      <c r="C2152" s="56" t="s">
        <v>191</v>
      </c>
    </row>
    <row r="2153" spans="2:3" hidden="1">
      <c r="B2153" s="61">
        <v>7161</v>
      </c>
      <c r="C2153" s="56" t="s">
        <v>191</v>
      </c>
    </row>
    <row r="2154" spans="2:3" hidden="1">
      <c r="B2154" s="61">
        <v>7154</v>
      </c>
      <c r="C2154" s="56" t="s">
        <v>191</v>
      </c>
    </row>
    <row r="2155" spans="2:3" hidden="1">
      <c r="B2155" s="61">
        <v>7153</v>
      </c>
      <c r="C2155" s="56" t="s">
        <v>191</v>
      </c>
    </row>
    <row r="2156" spans="2:3" hidden="1">
      <c r="B2156" s="61">
        <v>7152</v>
      </c>
      <c r="C2156" s="56" t="s">
        <v>191</v>
      </c>
    </row>
    <row r="2157" spans="2:3" hidden="1">
      <c r="B2157" s="61">
        <v>7151</v>
      </c>
      <c r="C2157" s="56" t="s">
        <v>191</v>
      </c>
    </row>
    <row r="2158" spans="2:3" hidden="1">
      <c r="B2158" s="61">
        <v>6574</v>
      </c>
      <c r="C2158" s="56" t="s">
        <v>191</v>
      </c>
    </row>
    <row r="2159" spans="2:3" hidden="1">
      <c r="B2159" s="61">
        <v>6573</v>
      </c>
      <c r="C2159" s="56" t="s">
        <v>191</v>
      </c>
    </row>
    <row r="2160" spans="2:3" hidden="1">
      <c r="B2160" s="61">
        <v>6572</v>
      </c>
      <c r="C2160" s="56" t="s">
        <v>191</v>
      </c>
    </row>
    <row r="2161" spans="2:3" hidden="1">
      <c r="B2161" s="61">
        <v>6571</v>
      </c>
      <c r="C2161" s="56" t="s">
        <v>191</v>
      </c>
    </row>
    <row r="2162" spans="2:3" hidden="1">
      <c r="B2162" s="61">
        <v>6564</v>
      </c>
      <c r="C2162" s="56" t="s">
        <v>191</v>
      </c>
    </row>
    <row r="2163" spans="2:3" hidden="1">
      <c r="B2163" s="61">
        <v>6563</v>
      </c>
      <c r="C2163" s="56" t="s">
        <v>191</v>
      </c>
    </row>
    <row r="2164" spans="2:3" hidden="1">
      <c r="B2164" s="61">
        <v>6562</v>
      </c>
      <c r="C2164" s="56" t="s">
        <v>191</v>
      </c>
    </row>
    <row r="2165" spans="2:3" hidden="1">
      <c r="B2165" s="61">
        <v>6561</v>
      </c>
      <c r="C2165" s="56" t="s">
        <v>191</v>
      </c>
    </row>
    <row r="2166" spans="2:3" hidden="1">
      <c r="B2166" s="61">
        <v>6474</v>
      </c>
      <c r="C2166" s="56" t="s">
        <v>191</v>
      </c>
    </row>
    <row r="2167" spans="2:3" hidden="1">
      <c r="B2167" s="61">
        <v>6473</v>
      </c>
      <c r="C2167" s="56" t="s">
        <v>191</v>
      </c>
    </row>
    <row r="2168" spans="2:3" hidden="1">
      <c r="B2168" s="61">
        <v>6472</v>
      </c>
      <c r="C2168" s="56" t="s">
        <v>191</v>
      </c>
    </row>
    <row r="2169" spans="2:3" hidden="1">
      <c r="B2169" s="61">
        <v>6471</v>
      </c>
      <c r="C2169" s="56" t="s">
        <v>191</v>
      </c>
    </row>
    <row r="2170" spans="2:3" hidden="1">
      <c r="B2170" s="61">
        <v>6464</v>
      </c>
      <c r="C2170" s="56" t="s">
        <v>191</v>
      </c>
    </row>
    <row r="2171" spans="2:3" hidden="1">
      <c r="B2171" s="61">
        <v>6463</v>
      </c>
      <c r="C2171" s="56" t="s">
        <v>191</v>
      </c>
    </row>
    <row r="2172" spans="2:3" hidden="1">
      <c r="B2172" s="61">
        <v>6462</v>
      </c>
      <c r="C2172" s="56" t="s">
        <v>191</v>
      </c>
    </row>
    <row r="2173" spans="2:3" hidden="1">
      <c r="B2173" s="61">
        <v>6461</v>
      </c>
      <c r="C2173" s="56" t="s">
        <v>191</v>
      </c>
    </row>
    <row r="2174" spans="2:3" hidden="1">
      <c r="B2174" s="61">
        <v>6454</v>
      </c>
      <c r="C2174" s="56" t="s">
        <v>191</v>
      </c>
    </row>
    <row r="2175" spans="2:3" hidden="1">
      <c r="B2175" s="61">
        <v>6453</v>
      </c>
      <c r="C2175" s="56" t="s">
        <v>191</v>
      </c>
    </row>
    <row r="2176" spans="2:3" hidden="1">
      <c r="B2176" s="61">
        <v>6452</v>
      </c>
      <c r="C2176" s="56" t="s">
        <v>191</v>
      </c>
    </row>
    <row r="2177" spans="2:3" hidden="1">
      <c r="B2177" s="61">
        <v>6451</v>
      </c>
      <c r="C2177" s="56" t="s">
        <v>191</v>
      </c>
    </row>
    <row r="2178" spans="2:3" hidden="1">
      <c r="B2178" s="61">
        <v>6374</v>
      </c>
      <c r="C2178" s="56" t="s">
        <v>191</v>
      </c>
    </row>
    <row r="2179" spans="2:3" hidden="1">
      <c r="B2179" s="61">
        <v>6373</v>
      </c>
      <c r="C2179" s="56" t="s">
        <v>191</v>
      </c>
    </row>
    <row r="2180" spans="2:3" hidden="1">
      <c r="B2180" s="61">
        <v>6372</v>
      </c>
      <c r="C2180" s="56" t="s">
        <v>191</v>
      </c>
    </row>
    <row r="2181" spans="2:3" hidden="1">
      <c r="B2181" s="61">
        <v>6371</v>
      </c>
      <c r="C2181" s="56" t="s">
        <v>191</v>
      </c>
    </row>
    <row r="2182" spans="2:3" hidden="1">
      <c r="B2182" s="61">
        <v>6364</v>
      </c>
      <c r="C2182" s="56" t="s">
        <v>191</v>
      </c>
    </row>
    <row r="2183" spans="2:3" hidden="1">
      <c r="B2183" s="61">
        <v>6363</v>
      </c>
      <c r="C2183" s="56" t="s">
        <v>191</v>
      </c>
    </row>
    <row r="2184" spans="2:3" hidden="1">
      <c r="B2184" s="61">
        <v>6362</v>
      </c>
      <c r="C2184" s="56" t="s">
        <v>191</v>
      </c>
    </row>
    <row r="2185" spans="2:3" hidden="1">
      <c r="B2185" s="61">
        <v>6361</v>
      </c>
      <c r="C2185" s="56" t="s">
        <v>191</v>
      </c>
    </row>
    <row r="2186" spans="2:3" hidden="1">
      <c r="B2186" s="61">
        <v>6354</v>
      </c>
      <c r="C2186" s="56" t="s">
        <v>191</v>
      </c>
    </row>
    <row r="2187" spans="2:3" hidden="1">
      <c r="B2187" s="61">
        <v>6353</v>
      </c>
      <c r="C2187" s="56" t="s">
        <v>191</v>
      </c>
    </row>
    <row r="2188" spans="2:3" hidden="1">
      <c r="B2188" s="61">
        <v>6352</v>
      </c>
      <c r="C2188" s="56" t="s">
        <v>191</v>
      </c>
    </row>
    <row r="2189" spans="2:3" hidden="1">
      <c r="B2189" s="61">
        <v>6351</v>
      </c>
      <c r="C2189" s="56" t="s">
        <v>191</v>
      </c>
    </row>
    <row r="2190" spans="2:3" hidden="1">
      <c r="B2190" s="61">
        <v>6274</v>
      </c>
      <c r="C2190" s="56" t="s">
        <v>191</v>
      </c>
    </row>
    <row r="2191" spans="2:3" hidden="1">
      <c r="B2191" s="61">
        <v>6273</v>
      </c>
      <c r="C2191" s="56" t="s">
        <v>191</v>
      </c>
    </row>
    <row r="2192" spans="2:3" hidden="1">
      <c r="B2192" s="61">
        <v>6272</v>
      </c>
      <c r="C2192" s="56" t="s">
        <v>191</v>
      </c>
    </row>
    <row r="2193" spans="2:3" hidden="1">
      <c r="B2193" s="61">
        <v>6271</v>
      </c>
      <c r="C2193" s="56" t="s">
        <v>191</v>
      </c>
    </row>
    <row r="2194" spans="2:3" hidden="1">
      <c r="B2194" s="61">
        <v>6264</v>
      </c>
      <c r="C2194" s="56" t="s">
        <v>191</v>
      </c>
    </row>
    <row r="2195" spans="2:3" hidden="1">
      <c r="B2195" s="61">
        <v>6263</v>
      </c>
      <c r="C2195" s="56" t="s">
        <v>191</v>
      </c>
    </row>
    <row r="2196" spans="2:3" hidden="1">
      <c r="B2196" s="61">
        <v>6262</v>
      </c>
      <c r="C2196" s="56" t="s">
        <v>191</v>
      </c>
    </row>
    <row r="2197" spans="2:3" hidden="1">
      <c r="B2197" s="61">
        <v>6261</v>
      </c>
      <c r="C2197" s="56" t="s">
        <v>191</v>
      </c>
    </row>
    <row r="2198" spans="2:3" hidden="1">
      <c r="B2198" s="61">
        <v>6254</v>
      </c>
      <c r="C2198" s="56" t="s">
        <v>191</v>
      </c>
    </row>
    <row r="2199" spans="2:3" hidden="1">
      <c r="B2199" s="61">
        <v>6253</v>
      </c>
      <c r="C2199" s="56" t="s">
        <v>191</v>
      </c>
    </row>
    <row r="2200" spans="2:3" hidden="1">
      <c r="B2200" s="61">
        <v>6252</v>
      </c>
      <c r="C2200" s="56" t="s">
        <v>191</v>
      </c>
    </row>
    <row r="2201" spans="2:3" hidden="1">
      <c r="B2201" s="61">
        <v>6251</v>
      </c>
      <c r="C2201" s="56" t="s">
        <v>191</v>
      </c>
    </row>
    <row r="2202" spans="2:3" hidden="1">
      <c r="B2202" s="61">
        <v>6174</v>
      </c>
      <c r="C2202" s="56" t="s">
        <v>191</v>
      </c>
    </row>
    <row r="2203" spans="2:3" hidden="1">
      <c r="B2203" s="61">
        <v>6173</v>
      </c>
      <c r="C2203" s="56" t="s">
        <v>191</v>
      </c>
    </row>
    <row r="2204" spans="2:3" hidden="1">
      <c r="B2204" s="61">
        <v>6172</v>
      </c>
      <c r="C2204" s="56" t="s">
        <v>191</v>
      </c>
    </row>
    <row r="2205" spans="2:3" hidden="1">
      <c r="B2205" s="61">
        <v>6171</v>
      </c>
      <c r="C2205" s="56" t="s">
        <v>191</v>
      </c>
    </row>
    <row r="2206" spans="2:3" hidden="1">
      <c r="B2206" s="61">
        <v>6164</v>
      </c>
      <c r="C2206" s="56" t="s">
        <v>191</v>
      </c>
    </row>
    <row r="2207" spans="2:3" hidden="1">
      <c r="B2207" s="61">
        <v>6163</v>
      </c>
      <c r="C2207" s="56" t="s">
        <v>191</v>
      </c>
    </row>
    <row r="2208" spans="2:3" hidden="1">
      <c r="B2208" s="61">
        <v>6162</v>
      </c>
      <c r="C2208" s="56" t="s">
        <v>191</v>
      </c>
    </row>
    <row r="2209" spans="2:3" hidden="1">
      <c r="B2209" s="61">
        <v>6161</v>
      </c>
      <c r="C2209" s="56" t="s">
        <v>191</v>
      </c>
    </row>
    <row r="2210" spans="2:3" hidden="1">
      <c r="B2210" s="61">
        <v>6154</v>
      </c>
      <c r="C2210" s="56" t="s">
        <v>191</v>
      </c>
    </row>
    <row r="2211" spans="2:3" hidden="1">
      <c r="B2211" s="61">
        <v>6153</v>
      </c>
      <c r="C2211" s="56" t="s">
        <v>191</v>
      </c>
    </row>
    <row r="2212" spans="2:3" hidden="1">
      <c r="B2212" s="61">
        <v>6152</v>
      </c>
      <c r="C2212" s="56" t="s">
        <v>191</v>
      </c>
    </row>
    <row r="2213" spans="2:3" hidden="1">
      <c r="B2213" s="61">
        <v>6151</v>
      </c>
      <c r="C2213" s="56" t="s">
        <v>191</v>
      </c>
    </row>
    <row r="2214" spans="2:3" hidden="1">
      <c r="B2214" s="61">
        <v>5474</v>
      </c>
      <c r="C2214" s="56" t="s">
        <v>191</v>
      </c>
    </row>
    <row r="2215" spans="2:3" hidden="1">
      <c r="B2215" s="61">
        <v>5473</v>
      </c>
      <c r="C2215" s="56" t="s">
        <v>191</v>
      </c>
    </row>
    <row r="2216" spans="2:3" hidden="1">
      <c r="B2216" s="61">
        <v>5472</v>
      </c>
      <c r="C2216" s="56" t="s">
        <v>191</v>
      </c>
    </row>
    <row r="2217" spans="2:3" hidden="1">
      <c r="B2217" s="61">
        <v>5471</v>
      </c>
      <c r="C2217" s="56" t="s">
        <v>191</v>
      </c>
    </row>
    <row r="2218" spans="2:3" hidden="1">
      <c r="B2218" s="61">
        <v>5464</v>
      </c>
      <c r="C2218" s="56" t="s">
        <v>191</v>
      </c>
    </row>
    <row r="2219" spans="2:3" hidden="1">
      <c r="B2219" s="61">
        <v>5463</v>
      </c>
      <c r="C2219" s="56" t="s">
        <v>191</v>
      </c>
    </row>
    <row r="2220" spans="2:3" hidden="1">
      <c r="B2220" s="61">
        <v>5462</v>
      </c>
      <c r="C2220" s="56" t="s">
        <v>191</v>
      </c>
    </row>
    <row r="2221" spans="2:3" hidden="1">
      <c r="B2221" s="61">
        <v>5461</v>
      </c>
      <c r="C2221" s="56" t="s">
        <v>191</v>
      </c>
    </row>
    <row r="2222" spans="2:3" hidden="1">
      <c r="B2222" s="61">
        <v>5454</v>
      </c>
      <c r="C2222" s="56" t="s">
        <v>191</v>
      </c>
    </row>
    <row r="2223" spans="2:3" hidden="1">
      <c r="B2223" s="61">
        <v>5453</v>
      </c>
      <c r="C2223" s="56" t="s">
        <v>191</v>
      </c>
    </row>
    <row r="2224" spans="2:3" hidden="1">
      <c r="B2224" s="61">
        <v>5452</v>
      </c>
      <c r="C2224" s="56" t="s">
        <v>191</v>
      </c>
    </row>
    <row r="2225" spans="2:3" hidden="1">
      <c r="B2225" s="61">
        <v>5451</v>
      </c>
      <c r="C2225" s="56" t="s">
        <v>191</v>
      </c>
    </row>
    <row r="2226" spans="2:3" hidden="1">
      <c r="B2226" s="61">
        <v>5374</v>
      </c>
      <c r="C2226" s="56" t="s">
        <v>191</v>
      </c>
    </row>
    <row r="2227" spans="2:3" hidden="1">
      <c r="B2227" s="61">
        <v>5373</v>
      </c>
      <c r="C2227" s="56" t="s">
        <v>191</v>
      </c>
    </row>
    <row r="2228" spans="2:3" hidden="1">
      <c r="B2228" s="61">
        <v>5372</v>
      </c>
      <c r="C2228" s="56" t="s">
        <v>191</v>
      </c>
    </row>
    <row r="2229" spans="2:3" hidden="1">
      <c r="B2229" s="61">
        <v>5371</v>
      </c>
      <c r="C2229" s="56" t="s">
        <v>191</v>
      </c>
    </row>
    <row r="2230" spans="2:3" hidden="1">
      <c r="B2230" s="61">
        <v>5364</v>
      </c>
      <c r="C2230" s="56" t="s">
        <v>191</v>
      </c>
    </row>
    <row r="2231" spans="2:3" hidden="1">
      <c r="B2231" s="61">
        <v>5363</v>
      </c>
      <c r="C2231" s="56" t="s">
        <v>191</v>
      </c>
    </row>
    <row r="2232" spans="2:3" hidden="1">
      <c r="B2232" s="61">
        <v>5362</v>
      </c>
      <c r="C2232" s="56" t="s">
        <v>191</v>
      </c>
    </row>
    <row r="2233" spans="2:3" hidden="1">
      <c r="B2233" s="61">
        <v>5361</v>
      </c>
      <c r="C2233" s="56" t="s">
        <v>191</v>
      </c>
    </row>
    <row r="2234" spans="2:3" hidden="1">
      <c r="B2234" s="61">
        <v>5354</v>
      </c>
      <c r="C2234" s="56" t="s">
        <v>191</v>
      </c>
    </row>
    <row r="2235" spans="2:3" hidden="1">
      <c r="B2235" s="61">
        <v>5353</v>
      </c>
      <c r="C2235" s="56" t="s">
        <v>191</v>
      </c>
    </row>
    <row r="2236" spans="2:3" hidden="1">
      <c r="B2236" s="61">
        <v>5352</v>
      </c>
      <c r="C2236" s="56" t="s">
        <v>191</v>
      </c>
    </row>
    <row r="2237" spans="2:3" hidden="1">
      <c r="B2237" s="61">
        <v>5351</v>
      </c>
      <c r="C2237" s="56" t="s">
        <v>191</v>
      </c>
    </row>
    <row r="2238" spans="2:3" hidden="1">
      <c r="B2238" s="61">
        <v>5274</v>
      </c>
      <c r="C2238" s="56" t="s">
        <v>191</v>
      </c>
    </row>
    <row r="2239" spans="2:3" hidden="1">
      <c r="B2239" s="61">
        <v>5273</v>
      </c>
      <c r="C2239" s="56" t="s">
        <v>191</v>
      </c>
    </row>
    <row r="2240" spans="2:3" hidden="1">
      <c r="B2240" s="61">
        <v>5272</v>
      </c>
      <c r="C2240" s="56" t="s">
        <v>191</v>
      </c>
    </row>
    <row r="2241" spans="2:3" hidden="1">
      <c r="B2241" s="61">
        <v>5271</v>
      </c>
      <c r="C2241" s="56" t="s">
        <v>191</v>
      </c>
    </row>
    <row r="2242" spans="2:3" hidden="1">
      <c r="B2242" s="61">
        <v>5264</v>
      </c>
      <c r="C2242" s="56" t="s">
        <v>191</v>
      </c>
    </row>
    <row r="2243" spans="2:3" hidden="1">
      <c r="B2243" s="61">
        <v>5263</v>
      </c>
      <c r="C2243" s="56" t="s">
        <v>191</v>
      </c>
    </row>
    <row r="2244" spans="2:3" hidden="1">
      <c r="B2244" s="61">
        <v>5262</v>
      </c>
      <c r="C2244" s="56" t="s">
        <v>191</v>
      </c>
    </row>
    <row r="2245" spans="2:3" hidden="1">
      <c r="B2245" s="61">
        <v>5261</v>
      </c>
      <c r="C2245" s="56" t="s">
        <v>191</v>
      </c>
    </row>
    <row r="2246" spans="2:3" hidden="1">
      <c r="B2246" s="61">
        <v>5254</v>
      </c>
      <c r="C2246" s="56" t="s">
        <v>191</v>
      </c>
    </row>
    <row r="2247" spans="2:3" hidden="1">
      <c r="B2247" s="61">
        <v>5253</v>
      </c>
      <c r="C2247" s="56" t="s">
        <v>191</v>
      </c>
    </row>
    <row r="2248" spans="2:3" hidden="1">
      <c r="B2248" s="61">
        <v>5252</v>
      </c>
      <c r="C2248" s="56" t="s">
        <v>191</v>
      </c>
    </row>
    <row r="2249" spans="2:3" hidden="1">
      <c r="B2249" s="61">
        <v>5251</v>
      </c>
      <c r="C2249" s="56" t="s">
        <v>191</v>
      </c>
    </row>
    <row r="2250" spans="2:3" hidden="1">
      <c r="B2250" s="61">
        <v>5174</v>
      </c>
      <c r="C2250" s="56" t="s">
        <v>191</v>
      </c>
    </row>
    <row r="2251" spans="2:3" hidden="1">
      <c r="B2251" s="61">
        <v>5173</v>
      </c>
      <c r="C2251" s="56" t="s">
        <v>191</v>
      </c>
    </row>
    <row r="2252" spans="2:3" hidden="1">
      <c r="B2252" s="61">
        <v>5172</v>
      </c>
      <c r="C2252" s="56" t="s">
        <v>191</v>
      </c>
    </row>
    <row r="2253" spans="2:3" hidden="1">
      <c r="B2253" s="61">
        <v>5171</v>
      </c>
      <c r="C2253" s="56" t="s">
        <v>191</v>
      </c>
    </row>
    <row r="2254" spans="2:3" hidden="1">
      <c r="B2254" s="61">
        <v>5164</v>
      </c>
      <c r="C2254" s="56" t="s">
        <v>191</v>
      </c>
    </row>
    <row r="2255" spans="2:3" hidden="1">
      <c r="B2255" s="61">
        <v>5163</v>
      </c>
      <c r="C2255" s="56" t="s">
        <v>191</v>
      </c>
    </row>
    <row r="2256" spans="2:3" hidden="1">
      <c r="B2256" s="61">
        <v>5162</v>
      </c>
      <c r="C2256" s="56" t="s">
        <v>191</v>
      </c>
    </row>
    <row r="2257" spans="2:3" hidden="1">
      <c r="B2257" s="61">
        <v>5161</v>
      </c>
      <c r="C2257" s="56" t="s">
        <v>191</v>
      </c>
    </row>
    <row r="2258" spans="2:3" hidden="1">
      <c r="B2258" s="61">
        <v>5154</v>
      </c>
      <c r="C2258" s="56" t="s">
        <v>191</v>
      </c>
    </row>
    <row r="2259" spans="2:3" hidden="1">
      <c r="B2259" s="61">
        <v>5153</v>
      </c>
      <c r="C2259" s="56" t="s">
        <v>191</v>
      </c>
    </row>
    <row r="2260" spans="2:3" hidden="1">
      <c r="B2260" s="61">
        <v>5152</v>
      </c>
      <c r="C2260" s="56" t="s">
        <v>191</v>
      </c>
    </row>
    <row r="2261" spans="2:3" hidden="1">
      <c r="B2261" s="61">
        <v>5151</v>
      </c>
      <c r="C2261" s="56" t="s">
        <v>191</v>
      </c>
    </row>
    <row r="2262" spans="2:3" hidden="1">
      <c r="B2262" s="61">
        <v>7344</v>
      </c>
      <c r="C2262" s="56" t="s">
        <v>192</v>
      </c>
    </row>
    <row r="2263" spans="2:3" hidden="1">
      <c r="B2263" s="61">
        <v>7343</v>
      </c>
      <c r="C2263" s="56" t="s">
        <v>192</v>
      </c>
    </row>
    <row r="2264" spans="2:3" hidden="1">
      <c r="B2264" s="61">
        <v>7342</v>
      </c>
      <c r="C2264" s="56" t="s">
        <v>192</v>
      </c>
    </row>
    <row r="2265" spans="2:3" hidden="1">
      <c r="B2265" s="61">
        <v>7341</v>
      </c>
      <c r="C2265" s="56" t="s">
        <v>192</v>
      </c>
    </row>
    <row r="2266" spans="2:3" hidden="1">
      <c r="B2266" s="61">
        <v>7334</v>
      </c>
      <c r="C2266" s="56" t="s">
        <v>192</v>
      </c>
    </row>
    <row r="2267" spans="2:3" hidden="1">
      <c r="B2267" s="61">
        <v>7333</v>
      </c>
      <c r="C2267" s="56" t="s">
        <v>192</v>
      </c>
    </row>
    <row r="2268" spans="2:3" hidden="1">
      <c r="B2268" s="61">
        <v>7332</v>
      </c>
      <c r="C2268" s="56" t="s">
        <v>192</v>
      </c>
    </row>
    <row r="2269" spans="2:3" hidden="1">
      <c r="B2269" s="61">
        <v>7331</v>
      </c>
      <c r="C2269" s="56" t="s">
        <v>192</v>
      </c>
    </row>
    <row r="2270" spans="2:3" hidden="1">
      <c r="B2270" s="61">
        <v>7324</v>
      </c>
      <c r="C2270" s="56" t="s">
        <v>192</v>
      </c>
    </row>
    <row r="2271" spans="2:3" hidden="1">
      <c r="B2271" s="61">
        <v>7323</v>
      </c>
      <c r="C2271" s="56" t="s">
        <v>192</v>
      </c>
    </row>
    <row r="2272" spans="2:3" hidden="1">
      <c r="B2272" s="61">
        <v>7322</v>
      </c>
      <c r="C2272" s="56" t="s">
        <v>192</v>
      </c>
    </row>
    <row r="2273" spans="2:3" hidden="1">
      <c r="B2273" s="61">
        <v>7321</v>
      </c>
      <c r="C2273" s="56" t="s">
        <v>192</v>
      </c>
    </row>
    <row r="2274" spans="2:3" hidden="1">
      <c r="B2274" s="61">
        <v>7314</v>
      </c>
      <c r="C2274" s="56" t="s">
        <v>192</v>
      </c>
    </row>
    <row r="2275" spans="2:3" hidden="1">
      <c r="B2275" s="61">
        <v>7313</v>
      </c>
      <c r="C2275" s="56" t="s">
        <v>192</v>
      </c>
    </row>
    <row r="2276" spans="2:3" hidden="1">
      <c r="B2276" s="61">
        <v>7312</v>
      </c>
      <c r="C2276" s="56" t="s">
        <v>192</v>
      </c>
    </row>
    <row r="2277" spans="2:3" hidden="1">
      <c r="B2277" s="61">
        <v>7311</v>
      </c>
      <c r="C2277" s="56" t="s">
        <v>192</v>
      </c>
    </row>
    <row r="2278" spans="2:3" hidden="1">
      <c r="B2278" s="61">
        <v>7244</v>
      </c>
      <c r="C2278" s="56" t="s">
        <v>192</v>
      </c>
    </row>
    <row r="2279" spans="2:3" hidden="1">
      <c r="B2279" s="61">
        <v>7243</v>
      </c>
      <c r="C2279" s="56" t="s">
        <v>192</v>
      </c>
    </row>
    <row r="2280" spans="2:3" hidden="1">
      <c r="B2280" s="61">
        <v>7242</v>
      </c>
      <c r="C2280" s="56" t="s">
        <v>192</v>
      </c>
    </row>
    <row r="2281" spans="2:3" hidden="1">
      <c r="B2281" s="61">
        <v>7241</v>
      </c>
      <c r="C2281" s="56" t="s">
        <v>192</v>
      </c>
    </row>
    <row r="2282" spans="2:3" hidden="1">
      <c r="B2282" s="61">
        <v>7234</v>
      </c>
      <c r="C2282" s="56" t="s">
        <v>192</v>
      </c>
    </row>
    <row r="2283" spans="2:3" hidden="1">
      <c r="B2283" s="61">
        <v>7233</v>
      </c>
      <c r="C2283" s="56" t="s">
        <v>192</v>
      </c>
    </row>
    <row r="2284" spans="2:3" hidden="1">
      <c r="B2284" s="61">
        <v>7232</v>
      </c>
      <c r="C2284" s="56" t="s">
        <v>192</v>
      </c>
    </row>
    <row r="2285" spans="2:3" hidden="1">
      <c r="B2285" s="61">
        <v>7231</v>
      </c>
      <c r="C2285" s="56" t="s">
        <v>192</v>
      </c>
    </row>
    <row r="2286" spans="2:3" hidden="1">
      <c r="B2286" s="61">
        <v>7224</v>
      </c>
      <c r="C2286" s="56" t="s">
        <v>192</v>
      </c>
    </row>
    <row r="2287" spans="2:3" hidden="1">
      <c r="B2287" s="61">
        <v>7223</v>
      </c>
      <c r="C2287" s="56" t="s">
        <v>192</v>
      </c>
    </row>
    <row r="2288" spans="2:3" hidden="1">
      <c r="B2288" s="61">
        <v>7222</v>
      </c>
      <c r="C2288" s="56" t="s">
        <v>192</v>
      </c>
    </row>
    <row r="2289" spans="2:3" hidden="1">
      <c r="B2289" s="61">
        <v>7221</v>
      </c>
      <c r="C2289" s="56" t="s">
        <v>192</v>
      </c>
    </row>
    <row r="2290" spans="2:3" hidden="1">
      <c r="B2290" s="61">
        <v>7214</v>
      </c>
      <c r="C2290" s="56" t="s">
        <v>192</v>
      </c>
    </row>
    <row r="2291" spans="2:3" hidden="1">
      <c r="B2291" s="61">
        <v>7213</v>
      </c>
      <c r="C2291" s="56" t="s">
        <v>192</v>
      </c>
    </row>
    <row r="2292" spans="2:3" hidden="1">
      <c r="B2292" s="61">
        <v>7212</v>
      </c>
      <c r="C2292" s="56" t="s">
        <v>192</v>
      </c>
    </row>
    <row r="2293" spans="2:3" hidden="1">
      <c r="B2293" s="61">
        <v>7211</v>
      </c>
      <c r="C2293" s="56" t="s">
        <v>192</v>
      </c>
    </row>
    <row r="2294" spans="2:3" hidden="1">
      <c r="B2294" s="61">
        <v>7144</v>
      </c>
      <c r="C2294" s="56" t="s">
        <v>192</v>
      </c>
    </row>
    <row r="2295" spans="2:3" hidden="1">
      <c r="B2295" s="61">
        <v>7143</v>
      </c>
      <c r="C2295" s="56" t="s">
        <v>192</v>
      </c>
    </row>
    <row r="2296" spans="2:3" hidden="1">
      <c r="B2296" s="61">
        <v>7142</v>
      </c>
      <c r="C2296" s="56" t="s">
        <v>192</v>
      </c>
    </row>
    <row r="2297" spans="2:3" hidden="1">
      <c r="B2297" s="61">
        <v>7141</v>
      </c>
      <c r="C2297" s="56" t="s">
        <v>192</v>
      </c>
    </row>
    <row r="2298" spans="2:3" hidden="1">
      <c r="B2298" s="61">
        <v>7134</v>
      </c>
      <c r="C2298" s="56" t="s">
        <v>192</v>
      </c>
    </row>
    <row r="2299" spans="2:3" hidden="1">
      <c r="B2299" s="61">
        <v>7133</v>
      </c>
      <c r="C2299" s="56" t="s">
        <v>192</v>
      </c>
    </row>
    <row r="2300" spans="2:3" hidden="1">
      <c r="B2300" s="61">
        <v>7132</v>
      </c>
      <c r="C2300" s="56" t="s">
        <v>192</v>
      </c>
    </row>
    <row r="2301" spans="2:3" hidden="1">
      <c r="B2301" s="61">
        <v>7131</v>
      </c>
      <c r="C2301" s="56" t="s">
        <v>192</v>
      </c>
    </row>
    <row r="2302" spans="2:3" hidden="1">
      <c r="B2302" s="61">
        <v>7124</v>
      </c>
      <c r="C2302" s="56" t="s">
        <v>192</v>
      </c>
    </row>
    <row r="2303" spans="2:3" hidden="1">
      <c r="B2303" s="61">
        <v>7123</v>
      </c>
      <c r="C2303" s="56" t="s">
        <v>192</v>
      </c>
    </row>
    <row r="2304" spans="2:3" hidden="1">
      <c r="B2304" s="61">
        <v>7122</v>
      </c>
      <c r="C2304" s="56" t="s">
        <v>192</v>
      </c>
    </row>
    <row r="2305" spans="2:3" hidden="1">
      <c r="B2305" s="61">
        <v>7121</v>
      </c>
      <c r="C2305" s="56" t="s">
        <v>192</v>
      </c>
    </row>
    <row r="2306" spans="2:3" hidden="1">
      <c r="B2306" s="61">
        <v>7114</v>
      </c>
      <c r="C2306" s="56" t="s">
        <v>192</v>
      </c>
    </row>
    <row r="2307" spans="2:3" hidden="1">
      <c r="B2307" s="61">
        <v>7113</v>
      </c>
      <c r="C2307" s="56" t="s">
        <v>192</v>
      </c>
    </row>
    <row r="2308" spans="2:3" hidden="1">
      <c r="B2308" s="61">
        <v>7112</v>
      </c>
      <c r="C2308" s="56" t="s">
        <v>192</v>
      </c>
    </row>
    <row r="2309" spans="2:3" hidden="1">
      <c r="B2309" s="61">
        <v>7111</v>
      </c>
      <c r="C2309" s="56" t="s">
        <v>192</v>
      </c>
    </row>
    <row r="2310" spans="2:3" hidden="1">
      <c r="B2310" s="61">
        <v>6344</v>
      </c>
      <c r="C2310" s="56" t="s">
        <v>192</v>
      </c>
    </row>
    <row r="2311" spans="2:3" hidden="1">
      <c r="B2311" s="61">
        <v>6343</v>
      </c>
      <c r="C2311" s="56" t="s">
        <v>192</v>
      </c>
    </row>
    <row r="2312" spans="2:3" hidden="1">
      <c r="B2312" s="61">
        <v>6342</v>
      </c>
      <c r="C2312" s="56" t="s">
        <v>192</v>
      </c>
    </row>
    <row r="2313" spans="2:3" hidden="1">
      <c r="B2313" s="61">
        <v>6341</v>
      </c>
      <c r="C2313" s="56" t="s">
        <v>192</v>
      </c>
    </row>
    <row r="2314" spans="2:3" hidden="1">
      <c r="B2314" s="61">
        <v>6334</v>
      </c>
      <c r="C2314" s="56" t="s">
        <v>192</v>
      </c>
    </row>
    <row r="2315" spans="2:3" hidden="1">
      <c r="B2315" s="61">
        <v>6333</v>
      </c>
      <c r="C2315" s="56" t="s">
        <v>192</v>
      </c>
    </row>
    <row r="2316" spans="2:3" hidden="1">
      <c r="B2316" s="61">
        <v>6332</v>
      </c>
      <c r="C2316" s="56" t="s">
        <v>192</v>
      </c>
    </row>
    <row r="2317" spans="2:3" hidden="1">
      <c r="B2317" s="61">
        <v>6331</v>
      </c>
      <c r="C2317" s="56" t="s">
        <v>192</v>
      </c>
    </row>
    <row r="2318" spans="2:3" hidden="1">
      <c r="B2318" s="61">
        <v>6324</v>
      </c>
      <c r="C2318" s="56" t="s">
        <v>192</v>
      </c>
    </row>
    <row r="2319" spans="2:3" hidden="1">
      <c r="B2319" s="61">
        <v>6323</v>
      </c>
      <c r="C2319" s="56" t="s">
        <v>192</v>
      </c>
    </row>
    <row r="2320" spans="2:3" hidden="1">
      <c r="B2320" s="61">
        <v>6322</v>
      </c>
      <c r="C2320" s="56" t="s">
        <v>192</v>
      </c>
    </row>
    <row r="2321" spans="2:3" hidden="1">
      <c r="B2321" s="61">
        <v>6321</v>
      </c>
      <c r="C2321" s="56" t="s">
        <v>192</v>
      </c>
    </row>
    <row r="2322" spans="2:3" hidden="1">
      <c r="B2322" s="61">
        <v>6314</v>
      </c>
      <c r="C2322" s="56" t="s">
        <v>192</v>
      </c>
    </row>
    <row r="2323" spans="2:3" hidden="1">
      <c r="B2323" s="61">
        <v>6313</v>
      </c>
      <c r="C2323" s="56" t="s">
        <v>192</v>
      </c>
    </row>
    <row r="2324" spans="2:3" hidden="1">
      <c r="B2324" s="61">
        <v>6312</v>
      </c>
      <c r="C2324" s="56" t="s">
        <v>192</v>
      </c>
    </row>
    <row r="2325" spans="2:3" hidden="1">
      <c r="B2325" s="61">
        <v>6311</v>
      </c>
      <c r="C2325" s="56" t="s">
        <v>192</v>
      </c>
    </row>
    <row r="2326" spans="2:3" hidden="1">
      <c r="B2326" s="61">
        <v>6244</v>
      </c>
      <c r="C2326" s="56" t="s">
        <v>192</v>
      </c>
    </row>
    <row r="2327" spans="2:3" hidden="1">
      <c r="B2327" s="61">
        <v>6243</v>
      </c>
      <c r="C2327" s="56" t="s">
        <v>192</v>
      </c>
    </row>
    <row r="2328" spans="2:3" hidden="1">
      <c r="B2328" s="61">
        <v>6242</v>
      </c>
      <c r="C2328" s="56" t="s">
        <v>192</v>
      </c>
    </row>
    <row r="2329" spans="2:3" hidden="1">
      <c r="B2329" s="61">
        <v>6241</v>
      </c>
      <c r="C2329" s="56" t="s">
        <v>192</v>
      </c>
    </row>
    <row r="2330" spans="2:3" hidden="1">
      <c r="B2330" s="61">
        <v>6234</v>
      </c>
      <c r="C2330" s="56" t="s">
        <v>192</v>
      </c>
    </row>
    <row r="2331" spans="2:3" hidden="1">
      <c r="B2331" s="61">
        <v>6233</v>
      </c>
      <c r="C2331" s="56" t="s">
        <v>192</v>
      </c>
    </row>
    <row r="2332" spans="2:3" hidden="1">
      <c r="B2332" s="61">
        <v>6232</v>
      </c>
      <c r="C2332" s="56" t="s">
        <v>192</v>
      </c>
    </row>
    <row r="2333" spans="2:3" hidden="1">
      <c r="B2333" s="61">
        <v>6231</v>
      </c>
      <c r="C2333" s="56" t="s">
        <v>192</v>
      </c>
    </row>
    <row r="2334" spans="2:3" hidden="1">
      <c r="B2334" s="61">
        <v>6224</v>
      </c>
      <c r="C2334" s="56" t="s">
        <v>192</v>
      </c>
    </row>
    <row r="2335" spans="2:3" hidden="1">
      <c r="B2335" s="61">
        <v>6223</v>
      </c>
      <c r="C2335" s="56" t="s">
        <v>192</v>
      </c>
    </row>
    <row r="2336" spans="2:3" hidden="1">
      <c r="B2336" s="61">
        <v>6222</v>
      </c>
      <c r="C2336" s="56" t="s">
        <v>192</v>
      </c>
    </row>
    <row r="2337" spans="2:3" hidden="1">
      <c r="B2337" s="61">
        <v>6221</v>
      </c>
      <c r="C2337" s="56" t="s">
        <v>192</v>
      </c>
    </row>
    <row r="2338" spans="2:3" hidden="1">
      <c r="B2338" s="61">
        <v>6214</v>
      </c>
      <c r="C2338" s="56" t="s">
        <v>192</v>
      </c>
    </row>
    <row r="2339" spans="2:3" hidden="1">
      <c r="B2339" s="61">
        <v>6213</v>
      </c>
      <c r="C2339" s="56" t="s">
        <v>192</v>
      </c>
    </row>
    <row r="2340" spans="2:3" hidden="1">
      <c r="B2340" s="61">
        <v>6212</v>
      </c>
      <c r="C2340" s="56" t="s">
        <v>192</v>
      </c>
    </row>
    <row r="2341" spans="2:3" hidden="1">
      <c r="B2341" s="61">
        <v>6211</v>
      </c>
      <c r="C2341" s="56" t="s">
        <v>192</v>
      </c>
    </row>
    <row r="2342" spans="2:3" hidden="1">
      <c r="B2342" s="61">
        <v>6144</v>
      </c>
      <c r="C2342" s="56" t="s">
        <v>192</v>
      </c>
    </row>
    <row r="2343" spans="2:3" hidden="1">
      <c r="B2343" s="61">
        <v>6143</v>
      </c>
      <c r="C2343" s="56" t="s">
        <v>192</v>
      </c>
    </row>
    <row r="2344" spans="2:3" hidden="1">
      <c r="B2344" s="61">
        <v>6142</v>
      </c>
      <c r="C2344" s="56" t="s">
        <v>192</v>
      </c>
    </row>
    <row r="2345" spans="2:3" hidden="1">
      <c r="B2345" s="61">
        <v>6141</v>
      </c>
      <c r="C2345" s="56" t="s">
        <v>192</v>
      </c>
    </row>
    <row r="2346" spans="2:3" hidden="1">
      <c r="B2346" s="61">
        <v>6134</v>
      </c>
      <c r="C2346" s="56" t="s">
        <v>192</v>
      </c>
    </row>
    <row r="2347" spans="2:3" hidden="1">
      <c r="B2347" s="61">
        <v>6133</v>
      </c>
      <c r="C2347" s="56" t="s">
        <v>192</v>
      </c>
    </row>
    <row r="2348" spans="2:3" hidden="1">
      <c r="B2348" s="61">
        <v>6132</v>
      </c>
      <c r="C2348" s="56" t="s">
        <v>192</v>
      </c>
    </row>
    <row r="2349" spans="2:3" hidden="1">
      <c r="B2349" s="61">
        <v>6131</v>
      </c>
      <c r="C2349" s="56" t="s">
        <v>192</v>
      </c>
    </row>
    <row r="2350" spans="2:3" hidden="1">
      <c r="B2350" s="61">
        <v>6124</v>
      </c>
      <c r="C2350" s="56" t="s">
        <v>192</v>
      </c>
    </row>
    <row r="2351" spans="2:3" hidden="1">
      <c r="B2351" s="61">
        <v>6123</v>
      </c>
      <c r="C2351" s="56" t="s">
        <v>192</v>
      </c>
    </row>
    <row r="2352" spans="2:3" hidden="1">
      <c r="B2352" s="61">
        <v>6122</v>
      </c>
      <c r="C2352" s="56" t="s">
        <v>192</v>
      </c>
    </row>
    <row r="2353" spans="2:3" hidden="1">
      <c r="B2353" s="61">
        <v>6121</v>
      </c>
      <c r="C2353" s="56" t="s">
        <v>192</v>
      </c>
    </row>
    <row r="2354" spans="2:3" hidden="1">
      <c r="B2354" s="61">
        <v>6114</v>
      </c>
      <c r="C2354" s="56" t="s">
        <v>192</v>
      </c>
    </row>
    <row r="2355" spans="2:3" hidden="1">
      <c r="B2355" s="61">
        <v>6113</v>
      </c>
      <c r="C2355" s="56" t="s">
        <v>192</v>
      </c>
    </row>
    <row r="2356" spans="2:3" hidden="1">
      <c r="B2356" s="61">
        <v>6112</v>
      </c>
      <c r="C2356" s="56" t="s">
        <v>192</v>
      </c>
    </row>
    <row r="2357" spans="2:3" hidden="1">
      <c r="B2357" s="61">
        <v>6111</v>
      </c>
      <c r="C2357" s="56" t="s">
        <v>192</v>
      </c>
    </row>
    <row r="2358" spans="2:3" hidden="1">
      <c r="B2358" s="61">
        <v>5344</v>
      </c>
      <c r="C2358" s="56" t="s">
        <v>192</v>
      </c>
    </row>
    <row r="2359" spans="2:3" hidden="1">
      <c r="B2359" s="61">
        <v>5343</v>
      </c>
      <c r="C2359" s="56" t="s">
        <v>192</v>
      </c>
    </row>
    <row r="2360" spans="2:3" hidden="1">
      <c r="B2360" s="61">
        <v>5342</v>
      </c>
      <c r="C2360" s="56" t="s">
        <v>192</v>
      </c>
    </row>
    <row r="2361" spans="2:3" hidden="1">
      <c r="B2361" s="61">
        <v>5341</v>
      </c>
      <c r="C2361" s="56" t="s">
        <v>192</v>
      </c>
    </row>
    <row r="2362" spans="2:3" hidden="1">
      <c r="B2362" s="61">
        <v>5334</v>
      </c>
      <c r="C2362" s="56" t="s">
        <v>192</v>
      </c>
    </row>
    <row r="2363" spans="2:3" hidden="1">
      <c r="B2363" s="61">
        <v>5333</v>
      </c>
      <c r="C2363" s="56" t="s">
        <v>192</v>
      </c>
    </row>
    <row r="2364" spans="2:3" hidden="1">
      <c r="B2364" s="61">
        <v>5332</v>
      </c>
      <c r="C2364" s="56" t="s">
        <v>192</v>
      </c>
    </row>
    <row r="2365" spans="2:3" hidden="1">
      <c r="B2365" s="61">
        <v>5331</v>
      </c>
      <c r="C2365" s="56" t="s">
        <v>192</v>
      </c>
    </row>
    <row r="2366" spans="2:3" hidden="1">
      <c r="B2366" s="61">
        <v>5324</v>
      </c>
      <c r="C2366" s="56" t="s">
        <v>192</v>
      </c>
    </row>
    <row r="2367" spans="2:3" hidden="1">
      <c r="B2367" s="61">
        <v>5323</v>
      </c>
      <c r="C2367" s="56" t="s">
        <v>192</v>
      </c>
    </row>
    <row r="2368" spans="2:3" hidden="1">
      <c r="B2368" s="61">
        <v>5322</v>
      </c>
      <c r="C2368" s="56" t="s">
        <v>192</v>
      </c>
    </row>
    <row r="2369" spans="2:3" hidden="1">
      <c r="B2369" s="61">
        <v>5321</v>
      </c>
      <c r="C2369" s="56" t="s">
        <v>192</v>
      </c>
    </row>
    <row r="2370" spans="2:3" hidden="1">
      <c r="B2370" s="61">
        <v>5314</v>
      </c>
      <c r="C2370" s="56" t="s">
        <v>192</v>
      </c>
    </row>
    <row r="2371" spans="2:3" hidden="1">
      <c r="B2371" s="61">
        <v>5313</v>
      </c>
      <c r="C2371" s="56" t="s">
        <v>192</v>
      </c>
    </row>
    <row r="2372" spans="2:3" hidden="1">
      <c r="B2372" s="61">
        <v>5312</v>
      </c>
      <c r="C2372" s="56" t="s">
        <v>192</v>
      </c>
    </row>
    <row r="2373" spans="2:3" hidden="1">
      <c r="B2373" s="61">
        <v>5311</v>
      </c>
      <c r="C2373" s="56" t="s">
        <v>192</v>
      </c>
    </row>
    <row r="2374" spans="2:3" hidden="1">
      <c r="B2374" s="61">
        <v>5244</v>
      </c>
      <c r="C2374" s="56" t="s">
        <v>192</v>
      </c>
    </row>
    <row r="2375" spans="2:3" hidden="1">
      <c r="B2375" s="61">
        <v>5243</v>
      </c>
      <c r="C2375" s="56" t="s">
        <v>192</v>
      </c>
    </row>
    <row r="2376" spans="2:3" hidden="1">
      <c r="B2376" s="61">
        <v>5242</v>
      </c>
      <c r="C2376" s="56" t="s">
        <v>192</v>
      </c>
    </row>
    <row r="2377" spans="2:3" hidden="1">
      <c r="B2377" s="61">
        <v>5241</v>
      </c>
      <c r="C2377" s="56" t="s">
        <v>192</v>
      </c>
    </row>
    <row r="2378" spans="2:3" hidden="1">
      <c r="B2378" s="61">
        <v>5234</v>
      </c>
      <c r="C2378" s="56" t="s">
        <v>192</v>
      </c>
    </row>
    <row r="2379" spans="2:3" hidden="1">
      <c r="B2379" s="61">
        <v>5233</v>
      </c>
      <c r="C2379" s="56" t="s">
        <v>192</v>
      </c>
    </row>
    <row r="2380" spans="2:3" hidden="1">
      <c r="B2380" s="61">
        <v>5232</v>
      </c>
      <c r="C2380" s="56" t="s">
        <v>192</v>
      </c>
    </row>
    <row r="2381" spans="2:3" hidden="1">
      <c r="B2381" s="61">
        <v>5231</v>
      </c>
      <c r="C2381" s="56" t="s">
        <v>192</v>
      </c>
    </row>
    <row r="2382" spans="2:3" hidden="1">
      <c r="B2382" s="61">
        <v>5224</v>
      </c>
      <c r="C2382" s="56" t="s">
        <v>192</v>
      </c>
    </row>
    <row r="2383" spans="2:3" hidden="1">
      <c r="B2383" s="61">
        <v>5223</v>
      </c>
      <c r="C2383" s="56" t="s">
        <v>192</v>
      </c>
    </row>
    <row r="2384" spans="2:3" hidden="1">
      <c r="B2384" s="61">
        <v>5222</v>
      </c>
      <c r="C2384" s="56" t="s">
        <v>192</v>
      </c>
    </row>
    <row r="2385" spans="2:3" hidden="1">
      <c r="B2385" s="61">
        <v>5221</v>
      </c>
      <c r="C2385" s="56" t="s">
        <v>192</v>
      </c>
    </row>
    <row r="2386" spans="2:3" hidden="1">
      <c r="B2386" s="61">
        <v>5214</v>
      </c>
      <c r="C2386" s="56" t="s">
        <v>192</v>
      </c>
    </row>
    <row r="2387" spans="2:3" hidden="1">
      <c r="B2387" s="61">
        <v>5213</v>
      </c>
      <c r="C2387" s="56" t="s">
        <v>192</v>
      </c>
    </row>
    <row r="2388" spans="2:3" hidden="1">
      <c r="B2388" s="61">
        <v>5212</v>
      </c>
      <c r="C2388" s="56" t="s">
        <v>192</v>
      </c>
    </row>
    <row r="2389" spans="2:3" hidden="1">
      <c r="B2389" s="61">
        <v>5211</v>
      </c>
      <c r="C2389" s="56" t="s">
        <v>192</v>
      </c>
    </row>
    <row r="2390" spans="2:3" hidden="1">
      <c r="B2390" s="61">
        <v>5144</v>
      </c>
      <c r="C2390" s="56" t="s">
        <v>192</v>
      </c>
    </row>
    <row r="2391" spans="2:3" hidden="1">
      <c r="B2391" s="61">
        <v>5143</v>
      </c>
      <c r="C2391" s="56" t="s">
        <v>192</v>
      </c>
    </row>
    <row r="2392" spans="2:3" hidden="1">
      <c r="B2392" s="61">
        <v>5142</v>
      </c>
      <c r="C2392" s="56" t="s">
        <v>192</v>
      </c>
    </row>
    <row r="2393" spans="2:3" hidden="1">
      <c r="B2393" s="61">
        <v>5141</v>
      </c>
      <c r="C2393" s="56" t="s">
        <v>192</v>
      </c>
    </row>
    <row r="2394" spans="2:3" hidden="1">
      <c r="B2394" s="61">
        <v>5134</v>
      </c>
      <c r="C2394" s="56" t="s">
        <v>192</v>
      </c>
    </row>
    <row r="2395" spans="2:3" hidden="1">
      <c r="B2395" s="61">
        <v>5133</v>
      </c>
      <c r="C2395" s="56" t="s">
        <v>192</v>
      </c>
    </row>
    <row r="2396" spans="2:3" hidden="1">
      <c r="B2396" s="61">
        <v>5132</v>
      </c>
      <c r="C2396" s="56" t="s">
        <v>192</v>
      </c>
    </row>
    <row r="2397" spans="2:3" hidden="1">
      <c r="B2397" s="61">
        <v>5131</v>
      </c>
      <c r="C2397" s="56" t="s">
        <v>192</v>
      </c>
    </row>
    <row r="2398" spans="2:3" hidden="1">
      <c r="B2398" s="61">
        <v>5124</v>
      </c>
      <c r="C2398" s="56" t="s">
        <v>192</v>
      </c>
    </row>
    <row r="2399" spans="2:3" hidden="1">
      <c r="B2399" s="61">
        <v>5123</v>
      </c>
      <c r="C2399" s="56" t="s">
        <v>192</v>
      </c>
    </row>
    <row r="2400" spans="2:3" hidden="1">
      <c r="B2400" s="61">
        <v>5122</v>
      </c>
      <c r="C2400" s="56" t="s">
        <v>192</v>
      </c>
    </row>
    <row r="2401" spans="2:3" hidden="1">
      <c r="B2401" s="61">
        <v>5121</v>
      </c>
      <c r="C2401" s="56" t="s">
        <v>192</v>
      </c>
    </row>
    <row r="2402" spans="2:3" hidden="1">
      <c r="B2402" s="61">
        <v>5114</v>
      </c>
      <c r="C2402" s="56" t="s">
        <v>192</v>
      </c>
    </row>
    <row r="2403" spans="2:3" hidden="1">
      <c r="B2403" s="61">
        <v>5113</v>
      </c>
      <c r="C2403" s="56" t="s">
        <v>192</v>
      </c>
    </row>
    <row r="2404" spans="2:3" hidden="1">
      <c r="B2404" s="61">
        <v>5112</v>
      </c>
      <c r="C2404" s="56" t="s">
        <v>192</v>
      </c>
    </row>
    <row r="2405" spans="2:3" hidden="1">
      <c r="B2405" s="61">
        <v>5111</v>
      </c>
      <c r="C2405" s="56" t="s">
        <v>192</v>
      </c>
    </row>
    <row r="2406" spans="2:3" hidden="1">
      <c r="B2406" s="61">
        <v>4442</v>
      </c>
      <c r="C2406" s="56" t="s">
        <v>343</v>
      </c>
    </row>
    <row r="2407" spans="2:3" hidden="1">
      <c r="B2407" s="61">
        <v>4441</v>
      </c>
      <c r="C2407" s="56" t="s">
        <v>343</v>
      </c>
    </row>
    <row r="2408" spans="2:3" hidden="1">
      <c r="B2408" s="61">
        <v>4432</v>
      </c>
      <c r="C2408" s="56" t="s">
        <v>343</v>
      </c>
    </row>
    <row r="2409" spans="2:3" hidden="1">
      <c r="B2409" s="61">
        <v>4431</v>
      </c>
      <c r="C2409" s="56" t="s">
        <v>343</v>
      </c>
    </row>
    <row r="2410" spans="2:3" hidden="1">
      <c r="B2410" s="61">
        <v>4424</v>
      </c>
      <c r="C2410" s="56" t="s">
        <v>343</v>
      </c>
    </row>
    <row r="2411" spans="2:3" hidden="1">
      <c r="B2411" s="61">
        <v>4423</v>
      </c>
      <c r="C2411" s="56" t="s">
        <v>343</v>
      </c>
    </row>
    <row r="2412" spans="2:3" hidden="1">
      <c r="B2412" s="61">
        <v>4422</v>
      </c>
      <c r="C2412" s="56" t="s">
        <v>343</v>
      </c>
    </row>
    <row r="2413" spans="2:3" hidden="1">
      <c r="B2413" s="61">
        <v>4421</v>
      </c>
      <c r="C2413" s="56" t="s">
        <v>343</v>
      </c>
    </row>
    <row r="2414" spans="2:3" hidden="1">
      <c r="B2414" s="61">
        <v>4414</v>
      </c>
      <c r="C2414" s="56" t="s">
        <v>343</v>
      </c>
    </row>
    <row r="2415" spans="2:3" hidden="1">
      <c r="B2415" s="61">
        <v>4413</v>
      </c>
      <c r="C2415" s="56" t="s">
        <v>343</v>
      </c>
    </row>
    <row r="2416" spans="2:3" hidden="1">
      <c r="B2416" s="61">
        <v>4412</v>
      </c>
      <c r="C2416" s="56" t="s">
        <v>343</v>
      </c>
    </row>
    <row r="2417" spans="2:3" hidden="1">
      <c r="B2417" s="61">
        <v>4411</v>
      </c>
      <c r="C2417" s="56" t="s">
        <v>343</v>
      </c>
    </row>
    <row r="2418" spans="2:3" hidden="1">
      <c r="B2418" s="61">
        <v>4342</v>
      </c>
      <c r="C2418" s="56" t="s">
        <v>343</v>
      </c>
    </row>
    <row r="2419" spans="2:3" hidden="1">
      <c r="B2419" s="61">
        <v>4341</v>
      </c>
      <c r="C2419" s="56" t="s">
        <v>343</v>
      </c>
    </row>
    <row r="2420" spans="2:3" hidden="1">
      <c r="B2420" s="61">
        <v>4332</v>
      </c>
      <c r="C2420" s="56" t="s">
        <v>343</v>
      </c>
    </row>
    <row r="2421" spans="2:3" hidden="1">
      <c r="B2421" s="61">
        <v>4331</v>
      </c>
      <c r="C2421" s="56" t="s">
        <v>343</v>
      </c>
    </row>
    <row r="2422" spans="2:3" hidden="1">
      <c r="B2422" s="61">
        <v>4324</v>
      </c>
      <c r="C2422" s="56" t="s">
        <v>343</v>
      </c>
    </row>
    <row r="2423" spans="2:3" hidden="1">
      <c r="B2423" s="61">
        <v>4323</v>
      </c>
      <c r="C2423" s="56" t="s">
        <v>343</v>
      </c>
    </row>
    <row r="2424" spans="2:3" hidden="1">
      <c r="B2424" s="61">
        <v>4322</v>
      </c>
      <c r="C2424" s="56" t="s">
        <v>343</v>
      </c>
    </row>
    <row r="2425" spans="2:3" hidden="1">
      <c r="B2425" s="61">
        <v>4321</v>
      </c>
      <c r="C2425" s="56" t="s">
        <v>343</v>
      </c>
    </row>
    <row r="2426" spans="2:3" hidden="1">
      <c r="B2426" s="61">
        <v>4314</v>
      </c>
      <c r="C2426" s="56" t="s">
        <v>343</v>
      </c>
    </row>
    <row r="2427" spans="2:3" hidden="1">
      <c r="B2427" s="61">
        <v>4313</v>
      </c>
      <c r="C2427" s="56" t="s">
        <v>343</v>
      </c>
    </row>
    <row r="2428" spans="2:3" hidden="1">
      <c r="B2428" s="61">
        <v>4312</v>
      </c>
      <c r="C2428" s="56" t="s">
        <v>343</v>
      </c>
    </row>
    <row r="2429" spans="2:3" hidden="1">
      <c r="B2429" s="61">
        <v>4311</v>
      </c>
      <c r="C2429" s="56" t="s">
        <v>343</v>
      </c>
    </row>
    <row r="2430" spans="2:3" hidden="1">
      <c r="B2430" s="61">
        <v>4244</v>
      </c>
      <c r="C2430" s="56" t="s">
        <v>343</v>
      </c>
    </row>
    <row r="2431" spans="2:3" hidden="1">
      <c r="B2431" s="61">
        <v>4243</v>
      </c>
      <c r="C2431" s="56" t="s">
        <v>343</v>
      </c>
    </row>
    <row r="2432" spans="2:3" hidden="1">
      <c r="B2432" s="61">
        <v>4242</v>
      </c>
      <c r="C2432" s="56" t="s">
        <v>343</v>
      </c>
    </row>
    <row r="2433" spans="2:3" hidden="1">
      <c r="B2433" s="61">
        <v>4241</v>
      </c>
      <c r="C2433" s="56" t="s">
        <v>343</v>
      </c>
    </row>
    <row r="2434" spans="2:3" hidden="1">
      <c r="B2434" s="61">
        <v>4234</v>
      </c>
      <c r="C2434" s="56" t="s">
        <v>343</v>
      </c>
    </row>
    <row r="2435" spans="2:3" hidden="1">
      <c r="B2435" s="61">
        <v>4233</v>
      </c>
      <c r="C2435" s="56" t="s">
        <v>343</v>
      </c>
    </row>
    <row r="2436" spans="2:3" hidden="1">
      <c r="B2436" s="61">
        <v>4232</v>
      </c>
      <c r="C2436" s="56" t="s">
        <v>343</v>
      </c>
    </row>
    <row r="2437" spans="2:3" hidden="1">
      <c r="B2437" s="61">
        <v>4231</v>
      </c>
      <c r="C2437" s="56" t="s">
        <v>343</v>
      </c>
    </row>
    <row r="2438" spans="2:3" hidden="1">
      <c r="B2438" s="61">
        <v>4224</v>
      </c>
      <c r="C2438" s="56" t="s">
        <v>343</v>
      </c>
    </row>
    <row r="2439" spans="2:3" hidden="1">
      <c r="B2439" s="61">
        <v>4223</v>
      </c>
      <c r="C2439" s="56" t="s">
        <v>343</v>
      </c>
    </row>
    <row r="2440" spans="2:3" hidden="1">
      <c r="B2440" s="61">
        <v>4222</v>
      </c>
      <c r="C2440" s="56" t="s">
        <v>343</v>
      </c>
    </row>
    <row r="2441" spans="2:3" hidden="1">
      <c r="B2441" s="61">
        <v>4221</v>
      </c>
      <c r="C2441" s="56" t="s">
        <v>343</v>
      </c>
    </row>
    <row r="2442" spans="2:3" hidden="1">
      <c r="B2442" s="61">
        <v>4214</v>
      </c>
      <c r="C2442" s="56" t="s">
        <v>343</v>
      </c>
    </row>
    <row r="2443" spans="2:3" hidden="1">
      <c r="B2443" s="61">
        <v>4213</v>
      </c>
      <c r="C2443" s="56" t="s">
        <v>343</v>
      </c>
    </row>
    <row r="2444" spans="2:3" hidden="1">
      <c r="B2444" s="61">
        <v>4212</v>
      </c>
      <c r="C2444" s="56" t="s">
        <v>343</v>
      </c>
    </row>
    <row r="2445" spans="2:3" hidden="1">
      <c r="B2445" s="61">
        <v>4211</v>
      </c>
      <c r="C2445" s="56" t="s">
        <v>343</v>
      </c>
    </row>
    <row r="2446" spans="2:3" hidden="1">
      <c r="B2446" s="61">
        <v>4144</v>
      </c>
      <c r="C2446" s="56" t="s">
        <v>343</v>
      </c>
    </row>
    <row r="2447" spans="2:3" hidden="1">
      <c r="B2447" s="61">
        <v>4143</v>
      </c>
      <c r="C2447" s="56" t="s">
        <v>343</v>
      </c>
    </row>
    <row r="2448" spans="2:3" hidden="1">
      <c r="B2448" s="61">
        <v>4142</v>
      </c>
      <c r="C2448" s="56" t="s">
        <v>343</v>
      </c>
    </row>
    <row r="2449" spans="2:3" hidden="1">
      <c r="B2449" s="61">
        <v>4141</v>
      </c>
      <c r="C2449" s="56" t="s">
        <v>343</v>
      </c>
    </row>
    <row r="2450" spans="2:3" hidden="1">
      <c r="B2450" s="61">
        <v>4134</v>
      </c>
      <c r="C2450" s="56" t="s">
        <v>343</v>
      </c>
    </row>
    <row r="2451" spans="2:3" hidden="1">
      <c r="B2451" s="61">
        <v>4133</v>
      </c>
      <c r="C2451" s="56" t="s">
        <v>343</v>
      </c>
    </row>
    <row r="2452" spans="2:3" hidden="1">
      <c r="B2452" s="61">
        <v>4132</v>
      </c>
      <c r="C2452" s="56" t="s">
        <v>343</v>
      </c>
    </row>
    <row r="2453" spans="2:3" hidden="1">
      <c r="B2453" s="61">
        <v>4131</v>
      </c>
      <c r="C2453" s="56" t="s">
        <v>343</v>
      </c>
    </row>
    <row r="2454" spans="2:3" hidden="1">
      <c r="B2454" s="61">
        <v>4124</v>
      </c>
      <c r="C2454" s="56" t="s">
        <v>343</v>
      </c>
    </row>
    <row r="2455" spans="2:3" hidden="1">
      <c r="B2455" s="61">
        <v>4123</v>
      </c>
      <c r="C2455" s="56" t="s">
        <v>343</v>
      </c>
    </row>
    <row r="2456" spans="2:3" hidden="1">
      <c r="B2456" s="61">
        <v>4122</v>
      </c>
      <c r="C2456" s="56" t="s">
        <v>343</v>
      </c>
    </row>
    <row r="2457" spans="2:3" hidden="1">
      <c r="B2457" s="61">
        <v>4121</v>
      </c>
      <c r="C2457" s="56" t="s">
        <v>343</v>
      </c>
    </row>
    <row r="2458" spans="2:3" hidden="1">
      <c r="B2458" s="61">
        <v>4114</v>
      </c>
      <c r="C2458" s="56" t="s">
        <v>343</v>
      </c>
    </row>
    <row r="2459" spans="2:3" hidden="1">
      <c r="B2459" s="61">
        <v>4113</v>
      </c>
      <c r="C2459" s="56" t="s">
        <v>343</v>
      </c>
    </row>
    <row r="2460" spans="2:3" hidden="1">
      <c r="B2460" s="61">
        <v>4112</v>
      </c>
      <c r="C2460" s="56" t="s">
        <v>343</v>
      </c>
    </row>
    <row r="2461" spans="2:3" hidden="1">
      <c r="B2461" s="61">
        <v>4111</v>
      </c>
      <c r="C2461" s="56" t="s">
        <v>343</v>
      </c>
    </row>
    <row r="2462" spans="2:3" hidden="1">
      <c r="B2462" s="61">
        <v>3442</v>
      </c>
      <c r="C2462" s="56" t="s">
        <v>343</v>
      </c>
    </row>
    <row r="2463" spans="2:3" hidden="1">
      <c r="B2463" s="61">
        <v>3441</v>
      </c>
      <c r="C2463" s="56" t="s">
        <v>343</v>
      </c>
    </row>
    <row r="2464" spans="2:3" hidden="1">
      <c r="B2464" s="61">
        <v>3432</v>
      </c>
      <c r="C2464" s="56" t="s">
        <v>343</v>
      </c>
    </row>
    <row r="2465" spans="2:3" hidden="1">
      <c r="B2465" s="61">
        <v>3431</v>
      </c>
      <c r="C2465" s="56" t="s">
        <v>343</v>
      </c>
    </row>
    <row r="2466" spans="2:3" hidden="1">
      <c r="B2466" s="61">
        <v>3424</v>
      </c>
      <c r="C2466" s="56" t="s">
        <v>343</v>
      </c>
    </row>
    <row r="2467" spans="2:3" hidden="1">
      <c r="B2467" s="61">
        <v>3423</v>
      </c>
      <c r="C2467" s="56" t="s">
        <v>343</v>
      </c>
    </row>
    <row r="2468" spans="2:3" hidden="1">
      <c r="B2468" s="61">
        <v>3422</v>
      </c>
      <c r="C2468" s="56" t="s">
        <v>343</v>
      </c>
    </row>
    <row r="2469" spans="2:3" hidden="1">
      <c r="B2469" s="61">
        <v>3421</v>
      </c>
      <c r="C2469" s="56" t="s">
        <v>343</v>
      </c>
    </row>
    <row r="2470" spans="2:3" hidden="1">
      <c r="B2470" s="61">
        <v>3414</v>
      </c>
      <c r="C2470" s="56" t="s">
        <v>343</v>
      </c>
    </row>
    <row r="2471" spans="2:3" hidden="1">
      <c r="B2471" s="61">
        <v>3413</v>
      </c>
      <c r="C2471" s="56" t="s">
        <v>343</v>
      </c>
    </row>
    <row r="2472" spans="2:3" hidden="1">
      <c r="B2472" s="61">
        <v>3412</v>
      </c>
      <c r="C2472" s="56" t="s">
        <v>343</v>
      </c>
    </row>
    <row r="2473" spans="2:3" hidden="1">
      <c r="B2473" s="61">
        <v>3411</v>
      </c>
      <c r="C2473" s="56" t="s">
        <v>343</v>
      </c>
    </row>
    <row r="2474" spans="2:3" hidden="1">
      <c r="B2474" s="61">
        <v>3342</v>
      </c>
      <c r="C2474" s="56" t="s">
        <v>343</v>
      </c>
    </row>
    <row r="2475" spans="2:3" hidden="1">
      <c r="B2475" s="61">
        <v>3341</v>
      </c>
      <c r="C2475" s="56" t="s">
        <v>343</v>
      </c>
    </row>
    <row r="2476" spans="2:3" hidden="1">
      <c r="B2476" s="61">
        <v>3333</v>
      </c>
      <c r="C2476" s="56" t="s">
        <v>343</v>
      </c>
    </row>
    <row r="2477" spans="2:3" hidden="1">
      <c r="B2477" s="61">
        <v>3332</v>
      </c>
      <c r="C2477" s="56" t="s">
        <v>343</v>
      </c>
    </row>
    <row r="2478" spans="2:3" hidden="1">
      <c r="B2478" s="61">
        <v>3331</v>
      </c>
      <c r="C2478" s="56" t="s">
        <v>343</v>
      </c>
    </row>
    <row r="2479" spans="2:3" hidden="1">
      <c r="B2479" s="61">
        <v>3324</v>
      </c>
      <c r="C2479" s="56" t="s">
        <v>343</v>
      </c>
    </row>
    <row r="2480" spans="2:3" hidden="1">
      <c r="B2480" s="61">
        <v>3323</v>
      </c>
      <c r="C2480" s="56" t="s">
        <v>343</v>
      </c>
    </row>
    <row r="2481" spans="2:3" hidden="1">
      <c r="B2481" s="61">
        <v>3322</v>
      </c>
      <c r="C2481" s="56" t="s">
        <v>343</v>
      </c>
    </row>
    <row r="2482" spans="2:3" hidden="1">
      <c r="B2482" s="61">
        <v>3321</v>
      </c>
      <c r="C2482" s="56" t="s">
        <v>343</v>
      </c>
    </row>
    <row r="2483" spans="2:3" hidden="1">
      <c r="B2483" s="61">
        <v>3314</v>
      </c>
      <c r="C2483" s="56" t="s">
        <v>343</v>
      </c>
    </row>
    <row r="2484" spans="2:3" hidden="1">
      <c r="B2484" s="61">
        <v>3313</v>
      </c>
      <c r="C2484" s="56" t="s">
        <v>343</v>
      </c>
    </row>
    <row r="2485" spans="2:3" hidden="1">
      <c r="B2485" s="61">
        <v>3312</v>
      </c>
      <c r="C2485" s="56" t="s">
        <v>343</v>
      </c>
    </row>
    <row r="2486" spans="2:3" hidden="1">
      <c r="B2486" s="61">
        <v>3311</v>
      </c>
      <c r="C2486" s="56" t="s">
        <v>343</v>
      </c>
    </row>
    <row r="2487" spans="2:3" hidden="1">
      <c r="B2487" s="61">
        <v>3244</v>
      </c>
      <c r="C2487" s="56" t="s">
        <v>343</v>
      </c>
    </row>
    <row r="2488" spans="2:3" hidden="1">
      <c r="B2488" s="61">
        <v>3243</v>
      </c>
      <c r="C2488" s="56" t="s">
        <v>343</v>
      </c>
    </row>
    <row r="2489" spans="2:3" hidden="1">
      <c r="B2489" s="61">
        <v>3242</v>
      </c>
      <c r="C2489" s="56" t="s">
        <v>343</v>
      </c>
    </row>
    <row r="2490" spans="2:3" hidden="1">
      <c r="B2490" s="61">
        <v>3241</v>
      </c>
      <c r="C2490" s="56" t="s">
        <v>343</v>
      </c>
    </row>
    <row r="2491" spans="2:3" hidden="1">
      <c r="B2491" s="61">
        <v>3234</v>
      </c>
      <c r="C2491" s="56" t="s">
        <v>343</v>
      </c>
    </row>
    <row r="2492" spans="2:3" hidden="1">
      <c r="B2492" s="61">
        <v>3233</v>
      </c>
      <c r="C2492" s="56" t="s">
        <v>343</v>
      </c>
    </row>
    <row r="2493" spans="2:3" hidden="1">
      <c r="B2493" s="61">
        <v>3232</v>
      </c>
      <c r="C2493" s="56" t="s">
        <v>343</v>
      </c>
    </row>
    <row r="2494" spans="2:3" hidden="1">
      <c r="B2494" s="61">
        <v>3231</v>
      </c>
      <c r="C2494" s="56" t="s">
        <v>343</v>
      </c>
    </row>
    <row r="2495" spans="2:3" hidden="1">
      <c r="B2495" s="61">
        <v>3224</v>
      </c>
      <c r="C2495" s="56" t="s">
        <v>343</v>
      </c>
    </row>
    <row r="2496" spans="2:3" hidden="1">
      <c r="B2496" s="61">
        <v>3223</v>
      </c>
      <c r="C2496" s="56" t="s">
        <v>343</v>
      </c>
    </row>
    <row r="2497" spans="2:3" hidden="1">
      <c r="B2497" s="61">
        <v>3222</v>
      </c>
      <c r="C2497" s="56" t="s">
        <v>343</v>
      </c>
    </row>
    <row r="2498" spans="2:3" hidden="1">
      <c r="B2498" s="61">
        <v>3221</v>
      </c>
      <c r="C2498" s="56" t="s">
        <v>343</v>
      </c>
    </row>
    <row r="2499" spans="2:3" hidden="1">
      <c r="B2499" s="61">
        <v>3214</v>
      </c>
      <c r="C2499" s="56" t="s">
        <v>343</v>
      </c>
    </row>
    <row r="2500" spans="2:3" hidden="1">
      <c r="B2500" s="61">
        <v>3213</v>
      </c>
      <c r="C2500" s="56" t="s">
        <v>343</v>
      </c>
    </row>
    <row r="2501" spans="2:3" hidden="1">
      <c r="B2501" s="61">
        <v>3212</v>
      </c>
      <c r="C2501" s="56" t="s">
        <v>343</v>
      </c>
    </row>
    <row r="2502" spans="2:3" hidden="1">
      <c r="B2502" s="61">
        <v>3211</v>
      </c>
      <c r="C2502" s="56" t="s">
        <v>343</v>
      </c>
    </row>
    <row r="2503" spans="2:3" hidden="1">
      <c r="B2503" s="61">
        <v>3144</v>
      </c>
      <c r="C2503" s="56" t="s">
        <v>343</v>
      </c>
    </row>
    <row r="2504" spans="2:3" hidden="1">
      <c r="B2504" s="61">
        <v>3143</v>
      </c>
      <c r="C2504" s="56" t="s">
        <v>343</v>
      </c>
    </row>
    <row r="2505" spans="2:3" hidden="1">
      <c r="B2505" s="61">
        <v>3142</v>
      </c>
      <c r="C2505" s="56" t="s">
        <v>343</v>
      </c>
    </row>
    <row r="2506" spans="2:3" hidden="1">
      <c r="B2506" s="61">
        <v>3141</v>
      </c>
      <c r="C2506" s="56" t="s">
        <v>343</v>
      </c>
    </row>
    <row r="2507" spans="2:3" hidden="1">
      <c r="B2507" s="61">
        <v>3134</v>
      </c>
      <c r="C2507" s="56" t="s">
        <v>343</v>
      </c>
    </row>
    <row r="2508" spans="2:3" hidden="1">
      <c r="B2508" s="61">
        <v>3133</v>
      </c>
      <c r="C2508" s="56" t="s">
        <v>343</v>
      </c>
    </row>
    <row r="2509" spans="2:3" hidden="1">
      <c r="B2509" s="61">
        <v>3132</v>
      </c>
      <c r="C2509" s="56" t="s">
        <v>343</v>
      </c>
    </row>
    <row r="2510" spans="2:3" hidden="1">
      <c r="B2510" s="61">
        <v>3131</v>
      </c>
      <c r="C2510" s="56" t="s">
        <v>343</v>
      </c>
    </row>
    <row r="2511" spans="2:3" hidden="1">
      <c r="B2511" s="61">
        <v>3124</v>
      </c>
      <c r="C2511" s="56" t="s">
        <v>343</v>
      </c>
    </row>
    <row r="2512" spans="2:3" hidden="1">
      <c r="B2512" s="61">
        <v>3123</v>
      </c>
      <c r="C2512" s="56" t="s">
        <v>343</v>
      </c>
    </row>
    <row r="2513" spans="2:3" hidden="1">
      <c r="B2513" s="61">
        <v>3122</v>
      </c>
      <c r="C2513" s="56" t="s">
        <v>343</v>
      </c>
    </row>
    <row r="2514" spans="2:3" hidden="1">
      <c r="B2514" s="61">
        <v>3121</v>
      </c>
      <c r="C2514" s="56" t="s">
        <v>343</v>
      </c>
    </row>
    <row r="2515" spans="2:3" hidden="1">
      <c r="B2515" s="61">
        <v>3114</v>
      </c>
      <c r="C2515" s="56" t="s">
        <v>343</v>
      </c>
    </row>
    <row r="2516" spans="2:3" hidden="1">
      <c r="B2516" s="61">
        <v>3113</v>
      </c>
      <c r="C2516" s="56" t="s">
        <v>343</v>
      </c>
    </row>
    <row r="2517" spans="2:3" hidden="1">
      <c r="B2517" s="61">
        <v>3112</v>
      </c>
      <c r="C2517" s="56" t="s">
        <v>343</v>
      </c>
    </row>
    <row r="2518" spans="2:3" hidden="1">
      <c r="B2518" s="61">
        <v>3111</v>
      </c>
      <c r="C2518" s="56" t="s">
        <v>343</v>
      </c>
    </row>
    <row r="2519" spans="2:3" hidden="1">
      <c r="B2519" s="61">
        <v>2444</v>
      </c>
      <c r="C2519" s="56" t="s">
        <v>343</v>
      </c>
    </row>
    <row r="2520" spans="2:3" hidden="1">
      <c r="B2520" s="61">
        <v>2443</v>
      </c>
      <c r="C2520" s="56" t="s">
        <v>343</v>
      </c>
    </row>
    <row r="2521" spans="2:3" hidden="1">
      <c r="B2521" s="61">
        <v>2442</v>
      </c>
      <c r="C2521" s="56" t="s">
        <v>343</v>
      </c>
    </row>
    <row r="2522" spans="2:3" hidden="1">
      <c r="B2522" s="61">
        <v>2441</v>
      </c>
      <c r="C2522" s="56" t="s">
        <v>343</v>
      </c>
    </row>
    <row r="2523" spans="2:3" hidden="1">
      <c r="B2523" s="61">
        <v>2434</v>
      </c>
      <c r="C2523" s="56" t="s">
        <v>343</v>
      </c>
    </row>
    <row r="2524" spans="2:3" hidden="1">
      <c r="B2524" s="61">
        <v>2433</v>
      </c>
      <c r="C2524" s="56" t="s">
        <v>343</v>
      </c>
    </row>
    <row r="2525" spans="2:3" hidden="1">
      <c r="B2525" s="61">
        <v>2432</v>
      </c>
      <c r="C2525" s="56" t="s">
        <v>343</v>
      </c>
    </row>
    <row r="2526" spans="2:3" hidden="1">
      <c r="B2526" s="61">
        <v>2431</v>
      </c>
      <c r="C2526" s="56" t="s">
        <v>343</v>
      </c>
    </row>
    <row r="2527" spans="2:3" hidden="1">
      <c r="B2527" s="61">
        <v>2424</v>
      </c>
      <c r="C2527" s="56" t="s">
        <v>343</v>
      </c>
    </row>
    <row r="2528" spans="2:3" hidden="1">
      <c r="B2528" s="61">
        <v>2423</v>
      </c>
      <c r="C2528" s="56" t="s">
        <v>343</v>
      </c>
    </row>
    <row r="2529" spans="2:3" hidden="1">
      <c r="B2529" s="61">
        <v>2422</v>
      </c>
      <c r="C2529" s="56" t="s">
        <v>343</v>
      </c>
    </row>
    <row r="2530" spans="2:3" hidden="1">
      <c r="B2530" s="61">
        <v>2421</v>
      </c>
      <c r="C2530" s="56" t="s">
        <v>343</v>
      </c>
    </row>
    <row r="2531" spans="2:3" hidden="1">
      <c r="B2531" s="61">
        <v>2414</v>
      </c>
      <c r="C2531" s="56" t="s">
        <v>343</v>
      </c>
    </row>
    <row r="2532" spans="2:3" hidden="1">
      <c r="B2532" s="61">
        <v>2413</v>
      </c>
      <c r="C2532" s="56" t="s">
        <v>343</v>
      </c>
    </row>
    <row r="2533" spans="2:3" hidden="1">
      <c r="B2533" s="61">
        <v>2412</v>
      </c>
      <c r="C2533" s="56" t="s">
        <v>343</v>
      </c>
    </row>
    <row r="2534" spans="2:3" hidden="1">
      <c r="B2534" s="61">
        <v>2411</v>
      </c>
      <c r="C2534" s="56" t="s">
        <v>343</v>
      </c>
    </row>
    <row r="2535" spans="2:3" hidden="1">
      <c r="B2535" s="61">
        <v>2344</v>
      </c>
      <c r="C2535" s="56" t="s">
        <v>343</v>
      </c>
    </row>
    <row r="2536" spans="2:3" hidden="1">
      <c r="B2536" s="61">
        <v>2343</v>
      </c>
      <c r="C2536" s="56" t="s">
        <v>343</v>
      </c>
    </row>
    <row r="2537" spans="2:3" hidden="1">
      <c r="B2537" s="61">
        <v>2342</v>
      </c>
      <c r="C2537" s="56" t="s">
        <v>343</v>
      </c>
    </row>
    <row r="2538" spans="2:3" hidden="1">
      <c r="B2538" s="61">
        <v>2341</v>
      </c>
      <c r="C2538" s="56" t="s">
        <v>343</v>
      </c>
    </row>
    <row r="2539" spans="2:3" hidden="1">
      <c r="B2539" s="61">
        <v>2334</v>
      </c>
      <c r="C2539" s="56" t="s">
        <v>343</v>
      </c>
    </row>
    <row r="2540" spans="2:3" hidden="1">
      <c r="B2540" s="61">
        <v>2333</v>
      </c>
      <c r="C2540" s="56" t="s">
        <v>343</v>
      </c>
    </row>
    <row r="2541" spans="2:3" hidden="1">
      <c r="B2541" s="61">
        <v>2332</v>
      </c>
      <c r="C2541" s="56" t="s">
        <v>343</v>
      </c>
    </row>
    <row r="2542" spans="2:3" hidden="1">
      <c r="B2542" s="61">
        <v>2331</v>
      </c>
      <c r="C2542" s="56" t="s">
        <v>343</v>
      </c>
    </row>
    <row r="2543" spans="2:3" hidden="1">
      <c r="B2543" s="61">
        <v>2324</v>
      </c>
      <c r="C2543" s="56" t="s">
        <v>343</v>
      </c>
    </row>
    <row r="2544" spans="2:3" hidden="1">
      <c r="B2544" s="61">
        <v>2323</v>
      </c>
      <c r="C2544" s="56" t="s">
        <v>343</v>
      </c>
    </row>
    <row r="2545" spans="2:3" hidden="1">
      <c r="B2545" s="61">
        <v>2322</v>
      </c>
      <c r="C2545" s="56" t="s">
        <v>343</v>
      </c>
    </row>
    <row r="2546" spans="2:3" hidden="1">
      <c r="B2546" s="61">
        <v>2321</v>
      </c>
      <c r="C2546" s="56" t="s">
        <v>343</v>
      </c>
    </row>
    <row r="2547" spans="2:3" hidden="1">
      <c r="B2547" s="61">
        <v>2314</v>
      </c>
      <c r="C2547" s="56" t="s">
        <v>343</v>
      </c>
    </row>
    <row r="2548" spans="2:3" hidden="1">
      <c r="B2548" s="61">
        <v>2313</v>
      </c>
      <c r="C2548" s="56" t="s">
        <v>343</v>
      </c>
    </row>
    <row r="2549" spans="2:3" hidden="1">
      <c r="B2549" s="61">
        <v>2312</v>
      </c>
      <c r="C2549" s="56" t="s">
        <v>343</v>
      </c>
    </row>
    <row r="2550" spans="2:3" hidden="1">
      <c r="B2550" s="61">
        <v>2311</v>
      </c>
      <c r="C2550" s="56" t="s">
        <v>343</v>
      </c>
    </row>
    <row r="2551" spans="2:3" hidden="1">
      <c r="B2551" s="61">
        <v>2244</v>
      </c>
      <c r="C2551" s="56" t="s">
        <v>343</v>
      </c>
    </row>
    <row r="2552" spans="2:3" hidden="1">
      <c r="B2552" s="61">
        <v>2243</v>
      </c>
      <c r="C2552" s="56" t="s">
        <v>343</v>
      </c>
    </row>
    <row r="2553" spans="2:3" hidden="1">
      <c r="B2553" s="61">
        <v>2242</v>
      </c>
      <c r="C2553" s="56" t="s">
        <v>343</v>
      </c>
    </row>
    <row r="2554" spans="2:3" hidden="1">
      <c r="B2554" s="61">
        <v>2241</v>
      </c>
      <c r="C2554" s="56" t="s">
        <v>343</v>
      </c>
    </row>
    <row r="2555" spans="2:3" hidden="1">
      <c r="B2555" s="61">
        <v>2234</v>
      </c>
      <c r="C2555" s="56" t="s">
        <v>343</v>
      </c>
    </row>
    <row r="2556" spans="2:3" hidden="1">
      <c r="B2556" s="61">
        <v>2233</v>
      </c>
      <c r="C2556" s="56" t="s">
        <v>343</v>
      </c>
    </row>
    <row r="2557" spans="2:3" hidden="1">
      <c r="B2557" s="61">
        <v>2232</v>
      </c>
      <c r="C2557" s="56" t="s">
        <v>343</v>
      </c>
    </row>
    <row r="2558" spans="2:3" hidden="1">
      <c r="B2558" s="61">
        <v>2231</v>
      </c>
      <c r="C2558" s="56" t="s">
        <v>343</v>
      </c>
    </row>
    <row r="2559" spans="2:3" hidden="1">
      <c r="B2559" s="61">
        <v>2224</v>
      </c>
      <c r="C2559" s="56" t="s">
        <v>343</v>
      </c>
    </row>
    <row r="2560" spans="2:3" hidden="1">
      <c r="B2560" s="61">
        <v>2223</v>
      </c>
      <c r="C2560" s="56" t="s">
        <v>343</v>
      </c>
    </row>
    <row r="2561" spans="2:3" hidden="1">
      <c r="B2561" s="61">
        <v>2222</v>
      </c>
      <c r="C2561" s="56" t="s">
        <v>343</v>
      </c>
    </row>
    <row r="2562" spans="2:3" hidden="1">
      <c r="B2562" s="61">
        <v>2221</v>
      </c>
      <c r="C2562" s="56" t="s">
        <v>343</v>
      </c>
    </row>
    <row r="2563" spans="2:3" hidden="1">
      <c r="B2563" s="61">
        <v>2214</v>
      </c>
      <c r="C2563" s="56" t="s">
        <v>343</v>
      </c>
    </row>
    <row r="2564" spans="2:3" hidden="1">
      <c r="B2564" s="61">
        <v>2213</v>
      </c>
      <c r="C2564" s="56" t="s">
        <v>343</v>
      </c>
    </row>
    <row r="2565" spans="2:3" hidden="1">
      <c r="B2565" s="61">
        <v>2212</v>
      </c>
      <c r="C2565" s="56" t="s">
        <v>343</v>
      </c>
    </row>
    <row r="2566" spans="2:3" hidden="1">
      <c r="B2566" s="61">
        <v>2211</v>
      </c>
      <c r="C2566" s="56" t="s">
        <v>343</v>
      </c>
    </row>
    <row r="2567" spans="2:3" hidden="1">
      <c r="B2567" s="61">
        <v>2144</v>
      </c>
      <c r="C2567" s="56" t="s">
        <v>343</v>
      </c>
    </row>
    <row r="2568" spans="2:3" hidden="1">
      <c r="B2568" s="61">
        <v>2143</v>
      </c>
      <c r="C2568" s="56" t="s">
        <v>343</v>
      </c>
    </row>
    <row r="2569" spans="2:3" hidden="1">
      <c r="B2569" s="61">
        <v>2142</v>
      </c>
      <c r="C2569" s="56" t="s">
        <v>343</v>
      </c>
    </row>
    <row r="2570" spans="2:3" hidden="1">
      <c r="B2570" s="61">
        <v>2141</v>
      </c>
      <c r="C2570" s="56" t="s">
        <v>343</v>
      </c>
    </row>
    <row r="2571" spans="2:3" hidden="1">
      <c r="B2571" s="61">
        <v>2134</v>
      </c>
      <c r="C2571" s="56" t="s">
        <v>343</v>
      </c>
    </row>
    <row r="2572" spans="2:3" hidden="1">
      <c r="B2572" s="61">
        <v>2133</v>
      </c>
      <c r="C2572" s="56" t="s">
        <v>343</v>
      </c>
    </row>
    <row r="2573" spans="2:3" hidden="1">
      <c r="B2573" s="61">
        <v>2132</v>
      </c>
      <c r="C2573" s="56" t="s">
        <v>343</v>
      </c>
    </row>
    <row r="2574" spans="2:3" hidden="1">
      <c r="B2574" s="61">
        <v>2131</v>
      </c>
      <c r="C2574" s="56" t="s">
        <v>343</v>
      </c>
    </row>
    <row r="2575" spans="2:3" hidden="1">
      <c r="B2575" s="61">
        <v>2124</v>
      </c>
      <c r="C2575" s="56" t="s">
        <v>343</v>
      </c>
    </row>
    <row r="2576" spans="2:3" hidden="1">
      <c r="B2576" s="61">
        <v>2123</v>
      </c>
      <c r="C2576" s="56" t="s">
        <v>343</v>
      </c>
    </row>
    <row r="2577" spans="2:3" hidden="1">
      <c r="B2577" s="61">
        <v>2122</v>
      </c>
      <c r="C2577" s="56" t="s">
        <v>343</v>
      </c>
    </row>
    <row r="2578" spans="2:3" hidden="1">
      <c r="B2578" s="61">
        <v>2121</v>
      </c>
      <c r="C2578" s="56" t="s">
        <v>343</v>
      </c>
    </row>
    <row r="2579" spans="2:3" hidden="1">
      <c r="B2579" s="61">
        <v>2114</v>
      </c>
      <c r="C2579" s="56" t="s">
        <v>343</v>
      </c>
    </row>
    <row r="2580" spans="2:3" hidden="1">
      <c r="B2580" s="61">
        <v>2113</v>
      </c>
      <c r="C2580" s="56" t="s">
        <v>343</v>
      </c>
    </row>
    <row r="2581" spans="2:3" hidden="1">
      <c r="B2581" s="61">
        <v>2112</v>
      </c>
      <c r="C2581" s="56" t="s">
        <v>343</v>
      </c>
    </row>
    <row r="2582" spans="2:3" hidden="1">
      <c r="B2582" s="61">
        <v>2111</v>
      </c>
      <c r="C2582" s="56" t="s">
        <v>343</v>
      </c>
    </row>
    <row r="2583" spans="2:3" hidden="1">
      <c r="B2583" s="61">
        <v>1444</v>
      </c>
      <c r="C2583" s="56" t="s">
        <v>343</v>
      </c>
    </row>
    <row r="2584" spans="2:3" hidden="1">
      <c r="B2584" s="61">
        <v>1443</v>
      </c>
      <c r="C2584" s="56" t="s">
        <v>343</v>
      </c>
    </row>
    <row r="2585" spans="2:3" hidden="1">
      <c r="B2585" s="61">
        <v>1442</v>
      </c>
      <c r="C2585" s="56" t="s">
        <v>343</v>
      </c>
    </row>
    <row r="2586" spans="2:3" hidden="1">
      <c r="B2586" s="61">
        <v>1441</v>
      </c>
      <c r="C2586" s="56" t="s">
        <v>343</v>
      </c>
    </row>
    <row r="2587" spans="2:3" hidden="1">
      <c r="B2587" s="61">
        <v>1434</v>
      </c>
      <c r="C2587" s="56" t="s">
        <v>343</v>
      </c>
    </row>
    <row r="2588" spans="2:3" hidden="1">
      <c r="B2588" s="61">
        <v>1433</v>
      </c>
      <c r="C2588" s="56" t="s">
        <v>343</v>
      </c>
    </row>
    <row r="2589" spans="2:3" hidden="1">
      <c r="B2589" s="61">
        <v>1432</v>
      </c>
      <c r="C2589" s="56" t="s">
        <v>343</v>
      </c>
    </row>
    <row r="2590" spans="2:3" hidden="1">
      <c r="B2590" s="61">
        <v>1431</v>
      </c>
      <c r="C2590" s="56" t="s">
        <v>343</v>
      </c>
    </row>
    <row r="2591" spans="2:3" hidden="1">
      <c r="B2591" s="61">
        <v>1424</v>
      </c>
      <c r="C2591" s="56" t="s">
        <v>343</v>
      </c>
    </row>
    <row r="2592" spans="2:3" hidden="1">
      <c r="B2592" s="61">
        <v>1423</v>
      </c>
      <c r="C2592" s="56" t="s">
        <v>343</v>
      </c>
    </row>
    <row r="2593" spans="2:3" hidden="1">
      <c r="B2593" s="61">
        <v>1422</v>
      </c>
      <c r="C2593" s="56" t="s">
        <v>343</v>
      </c>
    </row>
    <row r="2594" spans="2:3" hidden="1">
      <c r="B2594" s="61">
        <v>1421</v>
      </c>
      <c r="C2594" s="56" t="s">
        <v>343</v>
      </c>
    </row>
    <row r="2595" spans="2:3" hidden="1">
      <c r="B2595" s="61">
        <v>1414</v>
      </c>
      <c r="C2595" s="56" t="s">
        <v>343</v>
      </c>
    </row>
    <row r="2596" spans="2:3" hidden="1">
      <c r="B2596" s="61">
        <v>1413</v>
      </c>
      <c r="C2596" s="56" t="s">
        <v>343</v>
      </c>
    </row>
    <row r="2597" spans="2:3" hidden="1">
      <c r="B2597" s="61">
        <v>1412</v>
      </c>
      <c r="C2597" s="56" t="s">
        <v>343</v>
      </c>
    </row>
    <row r="2598" spans="2:3" hidden="1">
      <c r="B2598" s="61">
        <v>1411</v>
      </c>
      <c r="C2598" s="56" t="s">
        <v>343</v>
      </c>
    </row>
    <row r="2599" spans="2:3" hidden="1">
      <c r="B2599" s="61">
        <v>1344</v>
      </c>
      <c r="C2599" s="56" t="s">
        <v>343</v>
      </c>
    </row>
    <row r="2600" spans="2:3" hidden="1">
      <c r="B2600" s="61">
        <v>1343</v>
      </c>
      <c r="C2600" s="56" t="s">
        <v>343</v>
      </c>
    </row>
    <row r="2601" spans="2:3" hidden="1">
      <c r="B2601" s="61">
        <v>1342</v>
      </c>
      <c r="C2601" s="56" t="s">
        <v>343</v>
      </c>
    </row>
    <row r="2602" spans="2:3" hidden="1">
      <c r="B2602" s="61">
        <v>1341</v>
      </c>
      <c r="C2602" s="56" t="s">
        <v>343</v>
      </c>
    </row>
    <row r="2603" spans="2:3" hidden="1">
      <c r="B2603" s="61">
        <v>1334</v>
      </c>
      <c r="C2603" s="56" t="s">
        <v>343</v>
      </c>
    </row>
    <row r="2604" spans="2:3" hidden="1">
      <c r="B2604" s="61">
        <v>1333</v>
      </c>
      <c r="C2604" s="56" t="s">
        <v>343</v>
      </c>
    </row>
    <row r="2605" spans="2:3" hidden="1">
      <c r="B2605" s="61">
        <v>1332</v>
      </c>
      <c r="C2605" s="56" t="s">
        <v>343</v>
      </c>
    </row>
    <row r="2606" spans="2:3" hidden="1">
      <c r="B2606" s="61">
        <v>1331</v>
      </c>
      <c r="C2606" s="56" t="s">
        <v>343</v>
      </c>
    </row>
    <row r="2607" spans="2:3" hidden="1">
      <c r="B2607" s="61">
        <v>1324</v>
      </c>
      <c r="C2607" s="56" t="s">
        <v>343</v>
      </c>
    </row>
    <row r="2608" spans="2:3" hidden="1">
      <c r="B2608" s="61">
        <v>1323</v>
      </c>
      <c r="C2608" s="56" t="s">
        <v>343</v>
      </c>
    </row>
    <row r="2609" spans="2:3" hidden="1">
      <c r="B2609" s="61">
        <v>1322</v>
      </c>
      <c r="C2609" s="56" t="s">
        <v>343</v>
      </c>
    </row>
    <row r="2610" spans="2:3" hidden="1">
      <c r="B2610" s="61">
        <v>1321</v>
      </c>
      <c r="C2610" s="56" t="s">
        <v>343</v>
      </c>
    </row>
    <row r="2611" spans="2:3" hidden="1">
      <c r="B2611" s="61">
        <v>1314</v>
      </c>
      <c r="C2611" s="56" t="s">
        <v>343</v>
      </c>
    </row>
    <row r="2612" spans="2:3" hidden="1">
      <c r="B2612" s="61">
        <v>1313</v>
      </c>
      <c r="C2612" s="56" t="s">
        <v>343</v>
      </c>
    </row>
    <row r="2613" spans="2:3" hidden="1">
      <c r="B2613" s="61">
        <v>1312</v>
      </c>
      <c r="C2613" s="56" t="s">
        <v>343</v>
      </c>
    </row>
    <row r="2614" spans="2:3" hidden="1">
      <c r="B2614" s="61">
        <v>1311</v>
      </c>
      <c r="C2614" s="56" t="s">
        <v>343</v>
      </c>
    </row>
    <row r="2615" spans="2:3" hidden="1">
      <c r="B2615" s="61">
        <v>1244</v>
      </c>
      <c r="C2615" s="56" t="s">
        <v>343</v>
      </c>
    </row>
    <row r="2616" spans="2:3" hidden="1">
      <c r="B2616" s="61">
        <v>1243</v>
      </c>
      <c r="C2616" s="56" t="s">
        <v>343</v>
      </c>
    </row>
    <row r="2617" spans="2:3" hidden="1">
      <c r="B2617" s="61">
        <v>1242</v>
      </c>
      <c r="C2617" s="56" t="s">
        <v>343</v>
      </c>
    </row>
    <row r="2618" spans="2:3" hidden="1">
      <c r="B2618" s="61">
        <v>1241</v>
      </c>
      <c r="C2618" s="56" t="s">
        <v>343</v>
      </c>
    </row>
    <row r="2619" spans="2:3" hidden="1">
      <c r="B2619" s="61">
        <v>1234</v>
      </c>
      <c r="C2619" s="56" t="s">
        <v>343</v>
      </c>
    </row>
    <row r="2620" spans="2:3" hidden="1">
      <c r="B2620" s="61">
        <v>1233</v>
      </c>
      <c r="C2620" s="56" t="s">
        <v>343</v>
      </c>
    </row>
    <row r="2621" spans="2:3" hidden="1">
      <c r="B2621" s="61">
        <v>1232</v>
      </c>
      <c r="C2621" s="56" t="s">
        <v>343</v>
      </c>
    </row>
    <row r="2622" spans="2:3" hidden="1">
      <c r="B2622" s="61">
        <v>1231</v>
      </c>
      <c r="C2622" s="56" t="s">
        <v>343</v>
      </c>
    </row>
    <row r="2623" spans="2:3" hidden="1">
      <c r="B2623" s="61">
        <v>1224</v>
      </c>
      <c r="C2623" s="56" t="s">
        <v>343</v>
      </c>
    </row>
    <row r="2624" spans="2:3" hidden="1">
      <c r="B2624" s="61">
        <v>1223</v>
      </c>
      <c r="C2624" s="56" t="s">
        <v>343</v>
      </c>
    </row>
    <row r="2625" spans="2:3" hidden="1">
      <c r="B2625" s="61">
        <v>1222</v>
      </c>
      <c r="C2625" s="56" t="s">
        <v>343</v>
      </c>
    </row>
    <row r="2626" spans="2:3" hidden="1">
      <c r="B2626" s="61">
        <v>1221</v>
      </c>
      <c r="C2626" s="56" t="s">
        <v>343</v>
      </c>
    </row>
    <row r="2627" spans="2:3" hidden="1">
      <c r="B2627" s="61">
        <v>1214</v>
      </c>
      <c r="C2627" s="56" t="s">
        <v>343</v>
      </c>
    </row>
    <row r="2628" spans="2:3" hidden="1">
      <c r="B2628" s="61">
        <v>1213</v>
      </c>
      <c r="C2628" s="56" t="s">
        <v>343</v>
      </c>
    </row>
    <row r="2629" spans="2:3" hidden="1">
      <c r="B2629" s="61">
        <v>1212</v>
      </c>
      <c r="C2629" s="56" t="s">
        <v>343</v>
      </c>
    </row>
    <row r="2630" spans="2:3" hidden="1">
      <c r="B2630" s="61">
        <v>1211</v>
      </c>
      <c r="C2630" s="56" t="s">
        <v>343</v>
      </c>
    </row>
    <row r="2631" spans="2:3" hidden="1">
      <c r="B2631" s="61">
        <v>1144</v>
      </c>
      <c r="C2631" s="56" t="s">
        <v>343</v>
      </c>
    </row>
    <row r="2632" spans="2:3" hidden="1">
      <c r="B2632" s="61">
        <v>1143</v>
      </c>
      <c r="C2632" s="56" t="s">
        <v>343</v>
      </c>
    </row>
    <row r="2633" spans="2:3" hidden="1">
      <c r="B2633" s="61">
        <v>1142</v>
      </c>
      <c r="C2633" s="56" t="s">
        <v>343</v>
      </c>
    </row>
    <row r="2634" spans="2:3" hidden="1">
      <c r="B2634" s="61">
        <v>1141</v>
      </c>
      <c r="C2634" s="56" t="s">
        <v>343</v>
      </c>
    </row>
    <row r="2635" spans="2:3" hidden="1">
      <c r="B2635" s="61">
        <v>1134</v>
      </c>
      <c r="C2635" s="56" t="s">
        <v>343</v>
      </c>
    </row>
    <row r="2636" spans="2:3" hidden="1">
      <c r="B2636" s="61">
        <v>1133</v>
      </c>
      <c r="C2636" s="56" t="s">
        <v>343</v>
      </c>
    </row>
    <row r="2637" spans="2:3" hidden="1">
      <c r="B2637" s="61">
        <v>1132</v>
      </c>
      <c r="C2637" s="56" t="s">
        <v>343</v>
      </c>
    </row>
    <row r="2638" spans="2:3" hidden="1">
      <c r="B2638" s="61">
        <v>1131</v>
      </c>
      <c r="C2638" s="56" t="s">
        <v>343</v>
      </c>
    </row>
    <row r="2639" spans="2:3" hidden="1">
      <c r="B2639" s="61">
        <v>1124</v>
      </c>
      <c r="C2639" s="56" t="s">
        <v>343</v>
      </c>
    </row>
    <row r="2640" spans="2:3" hidden="1">
      <c r="B2640" s="61">
        <v>1123</v>
      </c>
      <c r="C2640" s="56" t="s">
        <v>343</v>
      </c>
    </row>
    <row r="2641" spans="2:3" hidden="1">
      <c r="B2641" s="61">
        <v>1122</v>
      </c>
      <c r="C2641" s="56" t="s">
        <v>343</v>
      </c>
    </row>
    <row r="2642" spans="2:3" hidden="1">
      <c r="B2642" s="61">
        <v>1121</v>
      </c>
      <c r="C2642" s="56" t="s">
        <v>343</v>
      </c>
    </row>
    <row r="2643" spans="2:3" hidden="1">
      <c r="B2643" s="61">
        <v>1114</v>
      </c>
      <c r="C2643" s="56" t="s">
        <v>343</v>
      </c>
    </row>
    <row r="2644" spans="2:3" hidden="1">
      <c r="B2644" s="61">
        <v>1113</v>
      </c>
      <c r="C2644" s="56" t="s">
        <v>343</v>
      </c>
    </row>
    <row r="2645" spans="2:3" hidden="1">
      <c r="B2645" s="61">
        <v>1112</v>
      </c>
      <c r="C2645" s="56" t="s">
        <v>343</v>
      </c>
    </row>
    <row r="2646" spans="2:3" hidden="1">
      <c r="B2646" s="61">
        <v>1111</v>
      </c>
      <c r="C2646" s="56" t="s">
        <v>343</v>
      </c>
    </row>
    <row r="2647" spans="2:3" hidden="1">
      <c r="B2647" s="61">
        <v>7777</v>
      </c>
      <c r="C2647" s="56" t="s">
        <v>344</v>
      </c>
    </row>
    <row r="2648" spans="2:3" hidden="1">
      <c r="B2648" s="61">
        <v>7776</v>
      </c>
      <c r="C2648" s="56" t="s">
        <v>344</v>
      </c>
    </row>
    <row r="2649" spans="2:3" hidden="1">
      <c r="B2649" s="61">
        <v>7775</v>
      </c>
      <c r="C2649" s="56" t="s">
        <v>344</v>
      </c>
    </row>
    <row r="2650" spans="2:3" hidden="1">
      <c r="B2650" s="61">
        <v>7767</v>
      </c>
      <c r="C2650" s="56" t="s">
        <v>344</v>
      </c>
    </row>
    <row r="2651" spans="2:3" hidden="1">
      <c r="B2651" s="61">
        <v>7766</v>
      </c>
      <c r="C2651" s="56" t="s">
        <v>344</v>
      </c>
    </row>
    <row r="2652" spans="2:3" hidden="1">
      <c r="B2652" s="61">
        <v>7765</v>
      </c>
      <c r="C2652" s="56" t="s">
        <v>344</v>
      </c>
    </row>
    <row r="2653" spans="2:3" hidden="1">
      <c r="B2653" s="61">
        <v>7757</v>
      </c>
      <c r="C2653" s="56" t="s">
        <v>344</v>
      </c>
    </row>
    <row r="2654" spans="2:3" hidden="1">
      <c r="B2654" s="61">
        <v>7756</v>
      </c>
      <c r="C2654" s="56" t="s">
        <v>344</v>
      </c>
    </row>
    <row r="2655" spans="2:3" hidden="1">
      <c r="B2655" s="61">
        <v>7755</v>
      </c>
      <c r="C2655" s="56" t="s">
        <v>344</v>
      </c>
    </row>
    <row r="2656" spans="2:3" hidden="1">
      <c r="B2656" s="61">
        <v>7677</v>
      </c>
      <c r="C2656" s="56" t="s">
        <v>344</v>
      </c>
    </row>
    <row r="2657" spans="2:3" hidden="1">
      <c r="B2657" s="61">
        <v>7676</v>
      </c>
      <c r="C2657" s="56" t="s">
        <v>344</v>
      </c>
    </row>
    <row r="2658" spans="2:3" hidden="1">
      <c r="B2658" s="61">
        <v>7675</v>
      </c>
      <c r="C2658" s="56" t="s">
        <v>344</v>
      </c>
    </row>
    <row r="2659" spans="2:3" hidden="1">
      <c r="B2659" s="61">
        <v>7667</v>
      </c>
      <c r="C2659" s="56" t="s">
        <v>344</v>
      </c>
    </row>
    <row r="2660" spans="2:3" hidden="1">
      <c r="B2660" s="61">
        <v>7666</v>
      </c>
      <c r="C2660" s="56" t="s">
        <v>344</v>
      </c>
    </row>
    <row r="2661" spans="2:3" hidden="1">
      <c r="B2661" s="61">
        <v>7665</v>
      </c>
      <c r="C2661" s="56" t="s">
        <v>344</v>
      </c>
    </row>
    <row r="2662" spans="2:3" hidden="1">
      <c r="B2662" s="61">
        <v>7657</v>
      </c>
      <c r="C2662" s="56" t="s">
        <v>344</v>
      </c>
    </row>
    <row r="2663" spans="2:3" hidden="1">
      <c r="B2663" s="61">
        <v>7656</v>
      </c>
      <c r="C2663" s="56" t="s">
        <v>344</v>
      </c>
    </row>
    <row r="2664" spans="2:3" hidden="1">
      <c r="B2664" s="61">
        <v>7655</v>
      </c>
      <c r="C2664" s="56" t="s">
        <v>344</v>
      </c>
    </row>
    <row r="2665" spans="2:3" hidden="1">
      <c r="B2665" s="61">
        <v>7577</v>
      </c>
      <c r="C2665" s="56" t="s">
        <v>344</v>
      </c>
    </row>
    <row r="2666" spans="2:3" hidden="1">
      <c r="B2666" s="61">
        <v>7576</v>
      </c>
      <c r="C2666" s="56" t="s">
        <v>344</v>
      </c>
    </row>
    <row r="2667" spans="2:3" hidden="1">
      <c r="B2667" s="61">
        <v>7575</v>
      </c>
      <c r="C2667" s="56" t="s">
        <v>344</v>
      </c>
    </row>
    <row r="2668" spans="2:3" hidden="1">
      <c r="B2668" s="61">
        <v>7567</v>
      </c>
      <c r="C2668" s="56" t="s">
        <v>344</v>
      </c>
    </row>
    <row r="2669" spans="2:3" hidden="1">
      <c r="B2669" s="61">
        <v>7566</v>
      </c>
      <c r="C2669" s="56" t="s">
        <v>344</v>
      </c>
    </row>
    <row r="2670" spans="2:3" hidden="1">
      <c r="B2670" s="61">
        <v>7565</v>
      </c>
      <c r="C2670" s="56" t="s">
        <v>344</v>
      </c>
    </row>
    <row r="2671" spans="2:3" hidden="1">
      <c r="B2671" s="61">
        <v>7557</v>
      </c>
      <c r="C2671" s="56" t="s">
        <v>344</v>
      </c>
    </row>
    <row r="2672" spans="2:3" hidden="1">
      <c r="B2672" s="61">
        <v>7556</v>
      </c>
      <c r="C2672" s="56" t="s">
        <v>344</v>
      </c>
    </row>
    <row r="2673" spans="2:3" hidden="1">
      <c r="B2673" s="61">
        <v>7555</v>
      </c>
      <c r="C2673" s="56" t="s">
        <v>344</v>
      </c>
    </row>
    <row r="2674" spans="2:3" hidden="1">
      <c r="B2674" s="61">
        <v>6777</v>
      </c>
      <c r="C2674" s="56" t="s">
        <v>344</v>
      </c>
    </row>
    <row r="2675" spans="2:3" hidden="1">
      <c r="B2675" s="61">
        <v>6776</v>
      </c>
      <c r="C2675" s="56" t="s">
        <v>344</v>
      </c>
    </row>
    <row r="2676" spans="2:3" hidden="1">
      <c r="B2676" s="61">
        <v>6775</v>
      </c>
      <c r="C2676" s="56" t="s">
        <v>344</v>
      </c>
    </row>
    <row r="2677" spans="2:3" hidden="1">
      <c r="B2677" s="61">
        <v>6767</v>
      </c>
      <c r="C2677" s="56" t="s">
        <v>344</v>
      </c>
    </row>
    <row r="2678" spans="2:3" hidden="1">
      <c r="B2678" s="61">
        <v>6766</v>
      </c>
      <c r="C2678" s="56" t="s">
        <v>344</v>
      </c>
    </row>
    <row r="2679" spans="2:3" hidden="1">
      <c r="B2679" s="61">
        <v>6765</v>
      </c>
      <c r="C2679" s="56" t="s">
        <v>344</v>
      </c>
    </row>
    <row r="2680" spans="2:3" hidden="1">
      <c r="B2680" s="61">
        <v>6757</v>
      </c>
      <c r="C2680" s="56" t="s">
        <v>344</v>
      </c>
    </row>
    <row r="2681" spans="2:3" hidden="1">
      <c r="B2681" s="61">
        <v>6756</v>
      </c>
      <c r="C2681" s="56" t="s">
        <v>344</v>
      </c>
    </row>
    <row r="2682" spans="2:3" hidden="1">
      <c r="B2682" s="61">
        <v>6755</v>
      </c>
      <c r="C2682" s="56" t="s">
        <v>344</v>
      </c>
    </row>
    <row r="2683" spans="2:3" hidden="1">
      <c r="B2683" s="61">
        <v>6677</v>
      </c>
      <c r="C2683" s="56" t="s">
        <v>344</v>
      </c>
    </row>
    <row r="2684" spans="2:3" hidden="1">
      <c r="B2684" s="61">
        <v>6676</v>
      </c>
      <c r="C2684" s="56" t="s">
        <v>344</v>
      </c>
    </row>
    <row r="2685" spans="2:3" hidden="1">
      <c r="B2685" s="61">
        <v>6675</v>
      </c>
      <c r="C2685" s="56" t="s">
        <v>344</v>
      </c>
    </row>
    <row r="2686" spans="2:3" hidden="1">
      <c r="B2686" s="61">
        <v>6667</v>
      </c>
      <c r="C2686" s="56" t="s">
        <v>344</v>
      </c>
    </row>
    <row r="2687" spans="2:3" hidden="1">
      <c r="B2687" s="61">
        <v>6666</v>
      </c>
      <c r="C2687" s="56" t="s">
        <v>344</v>
      </c>
    </row>
    <row r="2688" spans="2:3" hidden="1">
      <c r="B2688" s="61">
        <v>6665</v>
      </c>
      <c r="C2688" s="56" t="s">
        <v>344</v>
      </c>
    </row>
    <row r="2689" spans="2:3" hidden="1">
      <c r="B2689" s="61">
        <v>6657</v>
      </c>
      <c r="C2689" s="56" t="s">
        <v>344</v>
      </c>
    </row>
    <row r="2690" spans="2:3" hidden="1">
      <c r="B2690" s="61">
        <v>6656</v>
      </c>
      <c r="C2690" s="56" t="s">
        <v>344</v>
      </c>
    </row>
    <row r="2691" spans="2:3" hidden="1">
      <c r="B2691" s="61">
        <v>6655</v>
      </c>
      <c r="C2691" s="56" t="s">
        <v>344</v>
      </c>
    </row>
    <row r="2692" spans="2:3" hidden="1">
      <c r="B2692" s="61">
        <v>6577</v>
      </c>
      <c r="C2692" s="56" t="s">
        <v>344</v>
      </c>
    </row>
    <row r="2693" spans="2:3" hidden="1">
      <c r="B2693" s="61">
        <v>6576</v>
      </c>
      <c r="C2693" s="56" t="s">
        <v>344</v>
      </c>
    </row>
    <row r="2694" spans="2:3" hidden="1">
      <c r="B2694" s="61">
        <v>6575</v>
      </c>
      <c r="C2694" s="56" t="s">
        <v>344</v>
      </c>
    </row>
    <row r="2695" spans="2:3" hidden="1">
      <c r="B2695" s="61">
        <v>6567</v>
      </c>
      <c r="C2695" s="56" t="s">
        <v>344</v>
      </c>
    </row>
    <row r="2696" spans="2:3" hidden="1">
      <c r="B2696" s="61">
        <v>6566</v>
      </c>
      <c r="C2696" s="56" t="s">
        <v>344</v>
      </c>
    </row>
    <row r="2697" spans="2:3" hidden="1">
      <c r="B2697" s="61">
        <v>6565</v>
      </c>
      <c r="C2697" s="56" t="s">
        <v>344</v>
      </c>
    </row>
    <row r="2698" spans="2:3" hidden="1">
      <c r="B2698" s="61">
        <v>6557</v>
      </c>
      <c r="C2698" s="56" t="s">
        <v>344</v>
      </c>
    </row>
    <row r="2699" spans="2:3" hidden="1">
      <c r="B2699" s="61">
        <v>6556</v>
      </c>
      <c r="C2699" s="56" t="s">
        <v>344</v>
      </c>
    </row>
    <row r="2700" spans="2:3" hidden="1">
      <c r="B2700" s="61">
        <v>6555</v>
      </c>
      <c r="C2700" s="56" t="s">
        <v>344</v>
      </c>
    </row>
    <row r="2701" spans="2:3" hidden="1">
      <c r="B2701" s="61">
        <v>5777</v>
      </c>
      <c r="C2701" s="56" t="s">
        <v>344</v>
      </c>
    </row>
    <row r="2702" spans="2:3" hidden="1">
      <c r="B2702" s="61">
        <v>5776</v>
      </c>
      <c r="C2702" s="56" t="s">
        <v>344</v>
      </c>
    </row>
    <row r="2703" spans="2:3" hidden="1">
      <c r="B2703" s="61">
        <v>5775</v>
      </c>
      <c r="C2703" s="56" t="s">
        <v>344</v>
      </c>
    </row>
    <row r="2704" spans="2:3" hidden="1">
      <c r="B2704" s="61">
        <v>5767</v>
      </c>
      <c r="C2704" s="56" t="s">
        <v>344</v>
      </c>
    </row>
    <row r="2705" spans="2:3" hidden="1">
      <c r="B2705" s="61">
        <v>5766</v>
      </c>
      <c r="C2705" s="56" t="s">
        <v>344</v>
      </c>
    </row>
    <row r="2706" spans="2:3" hidden="1">
      <c r="B2706" s="61">
        <v>5765</v>
      </c>
      <c r="C2706" s="56" t="s">
        <v>344</v>
      </c>
    </row>
    <row r="2707" spans="2:3" hidden="1">
      <c r="B2707" s="61">
        <v>5757</v>
      </c>
      <c r="C2707" s="56" t="s">
        <v>344</v>
      </c>
    </row>
    <row r="2708" spans="2:3" hidden="1">
      <c r="B2708" s="61">
        <v>5756</v>
      </c>
      <c r="C2708" s="56" t="s">
        <v>344</v>
      </c>
    </row>
    <row r="2709" spans="2:3" hidden="1">
      <c r="B2709" s="61">
        <v>5755</v>
      </c>
      <c r="C2709" s="56" t="s">
        <v>344</v>
      </c>
    </row>
    <row r="2710" spans="2:3" hidden="1">
      <c r="B2710" s="61">
        <v>5677</v>
      </c>
      <c r="C2710" s="56" t="s">
        <v>344</v>
      </c>
    </row>
    <row r="2711" spans="2:3" hidden="1">
      <c r="B2711" s="61">
        <v>5676</v>
      </c>
      <c r="C2711" s="56" t="s">
        <v>344</v>
      </c>
    </row>
    <row r="2712" spans="2:3" hidden="1">
      <c r="B2712" s="61">
        <v>5675</v>
      </c>
      <c r="C2712" s="56" t="s">
        <v>344</v>
      </c>
    </row>
    <row r="2713" spans="2:3" hidden="1">
      <c r="B2713" s="61">
        <v>5667</v>
      </c>
      <c r="C2713" s="56" t="s">
        <v>344</v>
      </c>
    </row>
    <row r="2714" spans="2:3" hidden="1">
      <c r="B2714" s="61">
        <v>5666</v>
      </c>
      <c r="C2714" s="56" t="s">
        <v>344</v>
      </c>
    </row>
    <row r="2715" spans="2:3" hidden="1">
      <c r="B2715" s="61">
        <v>5665</v>
      </c>
      <c r="C2715" s="56" t="s">
        <v>344</v>
      </c>
    </row>
    <row r="2716" spans="2:3" hidden="1">
      <c r="B2716" s="61">
        <v>5657</v>
      </c>
      <c r="C2716" s="56" t="s">
        <v>344</v>
      </c>
    </row>
    <row r="2717" spans="2:3" hidden="1">
      <c r="B2717" s="61">
        <v>5656</v>
      </c>
      <c r="C2717" s="56" t="s">
        <v>344</v>
      </c>
    </row>
    <row r="2718" spans="2:3" hidden="1">
      <c r="B2718" s="61">
        <v>5655</v>
      </c>
      <c r="C2718" s="56" t="s">
        <v>344</v>
      </c>
    </row>
    <row r="2719" spans="2:3" hidden="1">
      <c r="B2719" s="61">
        <v>5577</v>
      </c>
      <c r="C2719" s="56" t="s">
        <v>344</v>
      </c>
    </row>
    <row r="2720" spans="2:3" hidden="1">
      <c r="B2720" s="61">
        <v>5576</v>
      </c>
      <c r="C2720" s="56" t="s">
        <v>344</v>
      </c>
    </row>
    <row r="2721" spans="2:3" hidden="1">
      <c r="B2721" s="61">
        <v>5575</v>
      </c>
      <c r="C2721" s="56" t="s">
        <v>344</v>
      </c>
    </row>
    <row r="2722" spans="2:3" hidden="1">
      <c r="B2722" s="61">
        <v>5567</v>
      </c>
      <c r="C2722" s="56" t="s">
        <v>344</v>
      </c>
    </row>
    <row r="2723" spans="2:3" hidden="1">
      <c r="B2723" s="61">
        <v>5566</v>
      </c>
      <c r="C2723" s="56" t="s">
        <v>344</v>
      </c>
    </row>
    <row r="2724" spans="2:3" hidden="1">
      <c r="B2724" s="61">
        <v>5565</v>
      </c>
      <c r="C2724" s="56" t="s">
        <v>344</v>
      </c>
    </row>
    <row r="2725" spans="2:3" hidden="1">
      <c r="B2725" s="61">
        <v>5557</v>
      </c>
      <c r="C2725" s="56" t="s">
        <v>344</v>
      </c>
    </row>
    <row r="2726" spans="2:3" hidden="1">
      <c r="B2726" s="61">
        <v>5556</v>
      </c>
      <c r="C2726" s="56" t="s">
        <v>344</v>
      </c>
    </row>
    <row r="2727" spans="2:3" hidden="1">
      <c r="B2727" s="61">
        <v>5555</v>
      </c>
      <c r="C2727" s="56" t="s">
        <v>344</v>
      </c>
    </row>
    <row r="2728" spans="2:3" hidden="1">
      <c r="B2728" s="61">
        <v>5554</v>
      </c>
      <c r="C2728" s="57" t="s">
        <v>342</v>
      </c>
    </row>
    <row r="2729" spans="2:3" hidden="1">
      <c r="B2729" s="61">
        <v>5544</v>
      </c>
      <c r="C2729" s="57" t="s">
        <v>342</v>
      </c>
    </row>
    <row r="2730" spans="2:3" hidden="1">
      <c r="B2730" s="61">
        <v>5444</v>
      </c>
      <c r="C2730" s="57" t="s">
        <v>342</v>
      </c>
    </row>
    <row r="2731" spans="2:3" hidden="1">
      <c r="B2731" s="61">
        <v>4555</v>
      </c>
      <c r="C2731" s="57" t="s">
        <v>342</v>
      </c>
    </row>
    <row r="2732" spans="2:3" hidden="1">
      <c r="B2732" s="61">
        <v>4544</v>
      </c>
      <c r="C2732" s="57" t="s">
        <v>342</v>
      </c>
    </row>
    <row r="2733" spans="2:3" hidden="1">
      <c r="B2733" s="61">
        <v>4455</v>
      </c>
      <c r="C2733" s="57" t="s">
        <v>342</v>
      </c>
    </row>
    <row r="2734" spans="2:3" hidden="1">
      <c r="B2734" s="61">
        <v>4454</v>
      </c>
      <c r="C2734" s="57" t="s">
        <v>342</v>
      </c>
    </row>
    <row r="2735" spans="2:3" hidden="1">
      <c r="B2735" s="61">
        <v>4445</v>
      </c>
      <c r="C2735" s="57" t="s">
        <v>342</v>
      </c>
    </row>
    <row r="2736" spans="2:3" hidden="1">
      <c r="B2736" s="61">
        <v>4444</v>
      </c>
      <c r="C2736" s="57" t="s">
        <v>342</v>
      </c>
    </row>
    <row r="2737" spans="2:3" hidden="1">
      <c r="B2737" s="61">
        <v>4443</v>
      </c>
      <c r="C2737" s="57" t="s">
        <v>342</v>
      </c>
    </row>
    <row r="2738" spans="2:3" hidden="1">
      <c r="B2738" s="61">
        <v>4434</v>
      </c>
      <c r="C2738" s="57" t="s">
        <v>342</v>
      </c>
    </row>
    <row r="2739" spans="2:3" hidden="1">
      <c r="B2739" s="61">
        <v>4433</v>
      </c>
      <c r="C2739" s="57" t="s">
        <v>342</v>
      </c>
    </row>
    <row r="2740" spans="2:3" hidden="1">
      <c r="B2740" s="61">
        <v>4344</v>
      </c>
      <c r="C2740" s="57" t="s">
        <v>342</v>
      </c>
    </row>
    <row r="2741" spans="2:3" hidden="1">
      <c r="B2741" s="61">
        <v>4343</v>
      </c>
      <c r="C2741" s="57" t="s">
        <v>342</v>
      </c>
    </row>
    <row r="2742" spans="2:3" hidden="1">
      <c r="B2742" s="61">
        <v>4334</v>
      </c>
      <c r="C2742" s="57" t="s">
        <v>342</v>
      </c>
    </row>
    <row r="2743" spans="2:3" hidden="1">
      <c r="B2743" s="61">
        <v>4333</v>
      </c>
      <c r="C2743" s="57" t="s">
        <v>342</v>
      </c>
    </row>
    <row r="2744" spans="2:3" hidden="1">
      <c r="B2744" s="61">
        <v>3444</v>
      </c>
      <c r="C2744" s="57" t="s">
        <v>342</v>
      </c>
    </row>
    <row r="2745" spans="2:3" hidden="1">
      <c r="B2745" s="61">
        <v>3443</v>
      </c>
      <c r="C2745" s="57" t="s">
        <v>342</v>
      </c>
    </row>
    <row r="2746" spans="2:3" hidden="1">
      <c r="B2746" s="61">
        <v>3434</v>
      </c>
      <c r="C2746" s="57" t="s">
        <v>342</v>
      </c>
    </row>
    <row r="2747" spans="2:3" hidden="1">
      <c r="B2747" s="61">
        <v>3433</v>
      </c>
      <c r="C2747" s="57" t="s">
        <v>342</v>
      </c>
    </row>
    <row r="2748" spans="2:3" hidden="1">
      <c r="B2748" s="61">
        <v>3344</v>
      </c>
      <c r="C2748" s="57" t="s">
        <v>342</v>
      </c>
    </row>
    <row r="2749" spans="2:3" hidden="1">
      <c r="B2749" s="61">
        <v>3343</v>
      </c>
      <c r="C2749" s="57" t="s">
        <v>342</v>
      </c>
    </row>
    <row r="2750" spans="2:3" hidden="1">
      <c r="B2750" s="61">
        <v>3334</v>
      </c>
      <c r="C2750" s="57" t="s">
        <v>342</v>
      </c>
    </row>
    <row r="2751" spans="2:3" hidden="1"/>
    <row r="2753" spans="2:6">
      <c r="E2753" s="70">
        <v>4554</v>
      </c>
      <c r="F2753" s="71" t="str">
        <f>CONCATENATE(B2755,C2755,D2755,E2755)</f>
        <v>5245</v>
      </c>
    </row>
    <row r="2754" spans="2:6">
      <c r="B2754" s="25" t="s">
        <v>0</v>
      </c>
      <c r="C2754" s="25" t="s">
        <v>1</v>
      </c>
      <c r="D2754" s="25" t="s">
        <v>2</v>
      </c>
      <c r="E2754" s="25" t="s">
        <v>3</v>
      </c>
    </row>
    <row r="2755" spans="2:6" ht="18">
      <c r="B2755" s="67">
        <f>IF(G74&lt;=11,1,IF(G74&lt;=26,2,IF(G74&lt;=41,3,IF(G74&lt;=56,4,IF(G74&lt;=70,5,IF(G74&lt;=85,6,IF(G74&lt;=100,7)))))))</f>
        <v>5</v>
      </c>
      <c r="C2755" s="67">
        <f>IF(G75&lt;=11,1,IF(G75&lt;=26,2,IF(G75&lt;=41,3,IF(G75&lt;=56,4,IF(G75&lt;=70,5,IF(G75&lt;=85,6,IF(G75&lt;=100,7)))))))</f>
        <v>2</v>
      </c>
      <c r="D2755" s="67">
        <f>IF(G76&lt;=11,1,IF(G76&lt;=26,2,IF(G76&lt;=41,3,IF(G76&lt;=56,4,IF(G76&lt;=70,5,IF(G76&lt;=85,6,IF(G76&lt;=100,7)))))))</f>
        <v>4</v>
      </c>
      <c r="E2755" s="67">
        <f>IF(G77&lt;=11,1,IF(G77&lt;=26,2,IF(G77&lt;=41,3,IF(G77&lt;=56,4,IF(G77&lt;=70,5,IF(G77&lt;=85,6,IF(G77&lt;=100,7)))))))</f>
        <v>5</v>
      </c>
    </row>
    <row r="2756" spans="2:6" ht="20.25">
      <c r="B2756" s="135" t="str">
        <f>IFERROR(VLOOKUP(E2753,$B$349:$C$2750,2,FALSE), "No hay patrón clásico")</f>
        <v>Consejero</v>
      </c>
      <c r="C2756" s="136"/>
      <c r="D2756" s="136"/>
      <c r="E2756" s="137"/>
    </row>
  </sheetData>
  <sheetProtection password="C319" sheet="1" objects="1" scenarios="1"/>
  <mergeCells count="434">
    <mergeCell ref="B2756:E2756"/>
    <mergeCell ref="B348:F348"/>
    <mergeCell ref="B344:D344"/>
    <mergeCell ref="E344:K344"/>
    <mergeCell ref="B345:D345"/>
    <mergeCell ref="E345:K345"/>
    <mergeCell ref="B346:D346"/>
    <mergeCell ref="E346:K346"/>
    <mergeCell ref="B347:D347"/>
    <mergeCell ref="E347:K347"/>
    <mergeCell ref="B339:D339"/>
    <mergeCell ref="E339:K339"/>
    <mergeCell ref="B340:D340"/>
    <mergeCell ref="E340:K340"/>
    <mergeCell ref="B341:D341"/>
    <mergeCell ref="E341:K341"/>
    <mergeCell ref="B342:D342"/>
    <mergeCell ref="E342:K342"/>
    <mergeCell ref="B343:D343"/>
    <mergeCell ref="E343:K343"/>
    <mergeCell ref="B332:D332"/>
    <mergeCell ref="E332:K332"/>
    <mergeCell ref="B333:D333"/>
    <mergeCell ref="E333:K333"/>
    <mergeCell ref="B334:D334"/>
    <mergeCell ref="E334:K334"/>
    <mergeCell ref="B337:K337"/>
    <mergeCell ref="B338:D338"/>
    <mergeCell ref="E338:K338"/>
    <mergeCell ref="B327:D327"/>
    <mergeCell ref="E327:K327"/>
    <mergeCell ref="B328:D328"/>
    <mergeCell ref="E328:K328"/>
    <mergeCell ref="B329:D329"/>
    <mergeCell ref="E329:K329"/>
    <mergeCell ref="B330:D330"/>
    <mergeCell ref="E330:K330"/>
    <mergeCell ref="B331:D331"/>
    <mergeCell ref="E331:K331"/>
    <mergeCell ref="B320:D320"/>
    <mergeCell ref="E320:K320"/>
    <mergeCell ref="B321:D321"/>
    <mergeCell ref="E321:K321"/>
    <mergeCell ref="B324:K324"/>
    <mergeCell ref="B325:D325"/>
    <mergeCell ref="E325:K325"/>
    <mergeCell ref="B326:D326"/>
    <mergeCell ref="E326:K326"/>
    <mergeCell ref="B315:D315"/>
    <mergeCell ref="E315:K315"/>
    <mergeCell ref="B316:D316"/>
    <mergeCell ref="E316:K316"/>
    <mergeCell ref="B317:D317"/>
    <mergeCell ref="E317:K317"/>
    <mergeCell ref="B318:D318"/>
    <mergeCell ref="E318:K318"/>
    <mergeCell ref="B319:D319"/>
    <mergeCell ref="E319:K319"/>
    <mergeCell ref="B308:D308"/>
    <mergeCell ref="E308:K308"/>
    <mergeCell ref="B311:K311"/>
    <mergeCell ref="B312:D312"/>
    <mergeCell ref="E312:K312"/>
    <mergeCell ref="B313:D313"/>
    <mergeCell ref="E313:K313"/>
    <mergeCell ref="B314:D314"/>
    <mergeCell ref="E314:K314"/>
    <mergeCell ref="B303:D303"/>
    <mergeCell ref="E303:K303"/>
    <mergeCell ref="B304:D304"/>
    <mergeCell ref="E304:K304"/>
    <mergeCell ref="B305:D305"/>
    <mergeCell ref="E305:K305"/>
    <mergeCell ref="B306:D306"/>
    <mergeCell ref="E306:K306"/>
    <mergeCell ref="B307:D307"/>
    <mergeCell ref="E307:K307"/>
    <mergeCell ref="B298:K298"/>
    <mergeCell ref="B299:D299"/>
    <mergeCell ref="E299:K299"/>
    <mergeCell ref="B300:D300"/>
    <mergeCell ref="E300:K300"/>
    <mergeCell ref="B301:D301"/>
    <mergeCell ref="E301:K301"/>
    <mergeCell ref="B302:D302"/>
    <mergeCell ref="E302:K302"/>
    <mergeCell ref="B291:D291"/>
    <mergeCell ref="E291:K291"/>
    <mergeCell ref="B292:D292"/>
    <mergeCell ref="E292:K292"/>
    <mergeCell ref="B293:D293"/>
    <mergeCell ref="E293:K293"/>
    <mergeCell ref="B294:D294"/>
    <mergeCell ref="E294:K294"/>
    <mergeCell ref="B295:D295"/>
    <mergeCell ref="E295:K295"/>
    <mergeCell ref="B286:D286"/>
    <mergeCell ref="E286:K286"/>
    <mergeCell ref="B287:D287"/>
    <mergeCell ref="E287:K287"/>
    <mergeCell ref="B288:D288"/>
    <mergeCell ref="E288:K288"/>
    <mergeCell ref="B289:D289"/>
    <mergeCell ref="E289:K289"/>
    <mergeCell ref="B290:D290"/>
    <mergeCell ref="E290:K290"/>
    <mergeCell ref="B279:D279"/>
    <mergeCell ref="E279:K279"/>
    <mergeCell ref="B280:D280"/>
    <mergeCell ref="E280:K280"/>
    <mergeCell ref="B281:D281"/>
    <mergeCell ref="E281:K281"/>
    <mergeCell ref="B282:D282"/>
    <mergeCell ref="E282:K282"/>
    <mergeCell ref="B285:K285"/>
    <mergeCell ref="B274:D274"/>
    <mergeCell ref="E274:K274"/>
    <mergeCell ref="B275:D275"/>
    <mergeCell ref="E275:K275"/>
    <mergeCell ref="B276:D276"/>
    <mergeCell ref="E276:K276"/>
    <mergeCell ref="B277:D277"/>
    <mergeCell ref="E277:K277"/>
    <mergeCell ref="B278:D278"/>
    <mergeCell ref="E278:K278"/>
    <mergeCell ref="B267:D267"/>
    <mergeCell ref="E267:K267"/>
    <mergeCell ref="B268:D268"/>
    <mergeCell ref="E268:K268"/>
    <mergeCell ref="B269:D269"/>
    <mergeCell ref="E269:K269"/>
    <mergeCell ref="B272:K272"/>
    <mergeCell ref="B273:D273"/>
    <mergeCell ref="E273:K273"/>
    <mergeCell ref="B262:D262"/>
    <mergeCell ref="E262:K262"/>
    <mergeCell ref="B263:D263"/>
    <mergeCell ref="E263:K263"/>
    <mergeCell ref="B264:D264"/>
    <mergeCell ref="E264:K264"/>
    <mergeCell ref="B265:D265"/>
    <mergeCell ref="E265:K265"/>
    <mergeCell ref="B266:D266"/>
    <mergeCell ref="E266:K266"/>
    <mergeCell ref="B255:D255"/>
    <mergeCell ref="E255:K255"/>
    <mergeCell ref="B256:D256"/>
    <mergeCell ref="E256:K256"/>
    <mergeCell ref="B259:K259"/>
    <mergeCell ref="B260:D260"/>
    <mergeCell ref="E260:K260"/>
    <mergeCell ref="B261:D261"/>
    <mergeCell ref="E261:K261"/>
    <mergeCell ref="B250:D250"/>
    <mergeCell ref="E250:K250"/>
    <mergeCell ref="B251:D251"/>
    <mergeCell ref="E251:K251"/>
    <mergeCell ref="B252:D252"/>
    <mergeCell ref="E252:K252"/>
    <mergeCell ref="B253:D253"/>
    <mergeCell ref="E253:K253"/>
    <mergeCell ref="B254:D254"/>
    <mergeCell ref="E254:K254"/>
    <mergeCell ref="B243:D243"/>
    <mergeCell ref="E243:K243"/>
    <mergeCell ref="B246:K246"/>
    <mergeCell ref="B247:D247"/>
    <mergeCell ref="E247:K247"/>
    <mergeCell ref="B248:D248"/>
    <mergeCell ref="E248:K248"/>
    <mergeCell ref="B249:D249"/>
    <mergeCell ref="E249:K249"/>
    <mergeCell ref="B238:D238"/>
    <mergeCell ref="E238:K238"/>
    <mergeCell ref="B239:D239"/>
    <mergeCell ref="E239:K239"/>
    <mergeCell ref="B240:D240"/>
    <mergeCell ref="E240:K240"/>
    <mergeCell ref="B241:D241"/>
    <mergeCell ref="E241:K241"/>
    <mergeCell ref="B242:D242"/>
    <mergeCell ref="E242:K242"/>
    <mergeCell ref="B233:K233"/>
    <mergeCell ref="B234:D234"/>
    <mergeCell ref="E234:K234"/>
    <mergeCell ref="B235:D235"/>
    <mergeCell ref="E235:K235"/>
    <mergeCell ref="B236:D236"/>
    <mergeCell ref="E236:K236"/>
    <mergeCell ref="B237:D237"/>
    <mergeCell ref="E237:K237"/>
    <mergeCell ref="B226:D226"/>
    <mergeCell ref="E226:K226"/>
    <mergeCell ref="B227:D227"/>
    <mergeCell ref="E227:K227"/>
    <mergeCell ref="B228:D228"/>
    <mergeCell ref="E228:K228"/>
    <mergeCell ref="B229:D229"/>
    <mergeCell ref="E229:K229"/>
    <mergeCell ref="B230:D230"/>
    <mergeCell ref="E230:K230"/>
    <mergeCell ref="B221:D221"/>
    <mergeCell ref="E221:K221"/>
    <mergeCell ref="B222:D222"/>
    <mergeCell ref="E222:K222"/>
    <mergeCell ref="B223:D223"/>
    <mergeCell ref="E223:K223"/>
    <mergeCell ref="B224:D224"/>
    <mergeCell ref="E224:K224"/>
    <mergeCell ref="B225:D225"/>
    <mergeCell ref="E225:K225"/>
    <mergeCell ref="B214:D214"/>
    <mergeCell ref="E214:K214"/>
    <mergeCell ref="B215:D215"/>
    <mergeCell ref="E215:K215"/>
    <mergeCell ref="B216:D216"/>
    <mergeCell ref="E216:K216"/>
    <mergeCell ref="B217:D217"/>
    <mergeCell ref="E217:K217"/>
    <mergeCell ref="B220:K220"/>
    <mergeCell ref="B209:D209"/>
    <mergeCell ref="E209:K209"/>
    <mergeCell ref="B210:D210"/>
    <mergeCell ref="E210:K210"/>
    <mergeCell ref="B211:D211"/>
    <mergeCell ref="E211:K211"/>
    <mergeCell ref="B212:D212"/>
    <mergeCell ref="E212:K212"/>
    <mergeCell ref="B213:D213"/>
    <mergeCell ref="E213:K213"/>
    <mergeCell ref="B202:D202"/>
    <mergeCell ref="E202:K202"/>
    <mergeCell ref="B203:D203"/>
    <mergeCell ref="E203:K203"/>
    <mergeCell ref="B204:D204"/>
    <mergeCell ref="E204:K204"/>
    <mergeCell ref="B207:K207"/>
    <mergeCell ref="B208:D208"/>
    <mergeCell ref="E208:K208"/>
    <mergeCell ref="B197:D197"/>
    <mergeCell ref="E197:K197"/>
    <mergeCell ref="B198:D198"/>
    <mergeCell ref="E198:K198"/>
    <mergeCell ref="B199:D199"/>
    <mergeCell ref="E199:K199"/>
    <mergeCell ref="B200:D200"/>
    <mergeCell ref="E200:K200"/>
    <mergeCell ref="B201:D201"/>
    <mergeCell ref="E201:K201"/>
    <mergeCell ref="B190:D190"/>
    <mergeCell ref="E190:K190"/>
    <mergeCell ref="B191:D191"/>
    <mergeCell ref="E191:K191"/>
    <mergeCell ref="B194:K194"/>
    <mergeCell ref="B195:D195"/>
    <mergeCell ref="E195:K195"/>
    <mergeCell ref="B196:D196"/>
    <mergeCell ref="E196:K196"/>
    <mergeCell ref="B185:D185"/>
    <mergeCell ref="E185:K185"/>
    <mergeCell ref="B186:D186"/>
    <mergeCell ref="E186:K186"/>
    <mergeCell ref="B187:D187"/>
    <mergeCell ref="E187:K187"/>
    <mergeCell ref="B188:D188"/>
    <mergeCell ref="E188:K188"/>
    <mergeCell ref="B189:D189"/>
    <mergeCell ref="E189:K189"/>
    <mergeCell ref="B178:D178"/>
    <mergeCell ref="E178:K178"/>
    <mergeCell ref="B181:K181"/>
    <mergeCell ref="B182:D182"/>
    <mergeCell ref="E182:K182"/>
    <mergeCell ref="B183:D183"/>
    <mergeCell ref="E183:K183"/>
    <mergeCell ref="B184:D184"/>
    <mergeCell ref="E184:K184"/>
    <mergeCell ref="B173:D173"/>
    <mergeCell ref="E173:K173"/>
    <mergeCell ref="B174:D174"/>
    <mergeCell ref="E174:K174"/>
    <mergeCell ref="B175:D175"/>
    <mergeCell ref="E175:K175"/>
    <mergeCell ref="B176:D176"/>
    <mergeCell ref="E176:K176"/>
    <mergeCell ref="B177:D177"/>
    <mergeCell ref="E177:K177"/>
    <mergeCell ref="B171:D171"/>
    <mergeCell ref="E171:K171"/>
    <mergeCell ref="B172:D172"/>
    <mergeCell ref="E172:K172"/>
    <mergeCell ref="E165:K165"/>
    <mergeCell ref="B155:K155"/>
    <mergeCell ref="E156:K156"/>
    <mergeCell ref="E157:K157"/>
    <mergeCell ref="B165:D165"/>
    <mergeCell ref="B159:D159"/>
    <mergeCell ref="B160:D160"/>
    <mergeCell ref="B161:D161"/>
    <mergeCell ref="B162:D162"/>
    <mergeCell ref="B163:D163"/>
    <mergeCell ref="B168:K168"/>
    <mergeCell ref="B169:D169"/>
    <mergeCell ref="E169:K169"/>
    <mergeCell ref="E159:K159"/>
    <mergeCell ref="E160:K160"/>
    <mergeCell ref="E161:K161"/>
    <mergeCell ref="E162:K162"/>
    <mergeCell ref="E163:K163"/>
    <mergeCell ref="E164:K164"/>
    <mergeCell ref="B164:D164"/>
    <mergeCell ref="B170:D170"/>
    <mergeCell ref="E170:K170"/>
    <mergeCell ref="I96:L96"/>
    <mergeCell ref="J89:K89"/>
    <mergeCell ref="B156:D156"/>
    <mergeCell ref="B157:D157"/>
    <mergeCell ref="B158:D158"/>
    <mergeCell ref="B104:D109"/>
    <mergeCell ref="E110:P110"/>
    <mergeCell ref="B110:D115"/>
    <mergeCell ref="E116:H118"/>
    <mergeCell ref="I116:L118"/>
    <mergeCell ref="M116:P118"/>
    <mergeCell ref="B116:D118"/>
    <mergeCell ref="E111:H111"/>
    <mergeCell ref="H112:H115"/>
    <mergeCell ref="F115:G115"/>
    <mergeCell ref="F112:G112"/>
    <mergeCell ref="F113:G113"/>
    <mergeCell ref="F114:G114"/>
    <mergeCell ref="M96:P96"/>
    <mergeCell ref="H88:H89"/>
    <mergeCell ref="I97:L97"/>
    <mergeCell ref="E158:K158"/>
    <mergeCell ref="B85:D89"/>
    <mergeCell ref="E90:P90"/>
    <mergeCell ref="B90:D94"/>
    <mergeCell ref="B95:D101"/>
    <mergeCell ref="M97:P97"/>
    <mergeCell ref="F108:G108"/>
    <mergeCell ref="F109:G109"/>
    <mergeCell ref="H106:H109"/>
    <mergeCell ref="E103:P103"/>
    <mergeCell ref="E104:P104"/>
    <mergeCell ref="J100:K100"/>
    <mergeCell ref="N100:O100"/>
    <mergeCell ref="F99:G99"/>
    <mergeCell ref="J99:K99"/>
    <mergeCell ref="N99:O99"/>
    <mergeCell ref="E105:H105"/>
    <mergeCell ref="F106:G106"/>
    <mergeCell ref="F107:G107"/>
    <mergeCell ref="E97:H97"/>
    <mergeCell ref="E95:P95"/>
    <mergeCell ref="N98:O98"/>
    <mergeCell ref="E96:H96"/>
    <mergeCell ref="E92:H92"/>
    <mergeCell ref="I92:L92"/>
    <mergeCell ref="M92:P92"/>
    <mergeCell ref="M86:P86"/>
    <mergeCell ref="M87:P87"/>
    <mergeCell ref="N88:O88"/>
    <mergeCell ref="P88:P89"/>
    <mergeCell ref="N89:O89"/>
    <mergeCell ref="E55:K55"/>
    <mergeCell ref="E87:H87"/>
    <mergeCell ref="E86:H86"/>
    <mergeCell ref="I86:L86"/>
    <mergeCell ref="I87:L87"/>
    <mergeCell ref="J88:K88"/>
    <mergeCell ref="L88:L89"/>
    <mergeCell ref="E56:K56"/>
    <mergeCell ref="E57:K57"/>
    <mergeCell ref="E58:K58"/>
    <mergeCell ref="E91:H91"/>
    <mergeCell ref="I91:L91"/>
    <mergeCell ref="M91:P91"/>
    <mergeCell ref="F88:G88"/>
    <mergeCell ref="F89:G89"/>
    <mergeCell ref="E85:P85"/>
    <mergeCell ref="E102:P102"/>
    <mergeCell ref="B102:D103"/>
    <mergeCell ref="F101:G101"/>
    <mergeCell ref="J101:K101"/>
    <mergeCell ref="N101:O101"/>
    <mergeCell ref="H98:H101"/>
    <mergeCell ref="L98:L101"/>
    <mergeCell ref="P98:P101"/>
    <mergeCell ref="F100:G100"/>
    <mergeCell ref="F98:G98"/>
    <mergeCell ref="J98:K98"/>
    <mergeCell ref="B80:C80"/>
    <mergeCell ref="F80:G80"/>
    <mergeCell ref="J80:K80"/>
    <mergeCell ref="E54:K54"/>
    <mergeCell ref="G69:H69"/>
    <mergeCell ref="G70:H70"/>
    <mergeCell ref="C70:F70"/>
    <mergeCell ref="B31:J35"/>
    <mergeCell ref="B63:D63"/>
    <mergeCell ref="B58:D58"/>
    <mergeCell ref="B59:D59"/>
    <mergeCell ref="B60:D60"/>
    <mergeCell ref="B61:D61"/>
    <mergeCell ref="B62:D62"/>
    <mergeCell ref="B54:D54"/>
    <mergeCell ref="E59:K59"/>
    <mergeCell ref="E60:K60"/>
    <mergeCell ref="E61:K61"/>
    <mergeCell ref="E62:K62"/>
    <mergeCell ref="E63:K63"/>
    <mergeCell ref="B53:K53"/>
    <mergeCell ref="B52:K52"/>
    <mergeCell ref="P93:P94"/>
    <mergeCell ref="F94:G94"/>
    <mergeCell ref="J94:K94"/>
    <mergeCell ref="N94:O94"/>
    <mergeCell ref="F93:G93"/>
    <mergeCell ref="H93:H94"/>
    <mergeCell ref="J93:K93"/>
    <mergeCell ref="L93:L94"/>
    <mergeCell ref="N93:O93"/>
    <mergeCell ref="C2:G2"/>
    <mergeCell ref="C3:G3"/>
    <mergeCell ref="B5:J6"/>
    <mergeCell ref="B46:J50"/>
    <mergeCell ref="B55:D55"/>
    <mergeCell ref="B56:D56"/>
    <mergeCell ref="B57:D57"/>
    <mergeCell ref="B29:J30"/>
    <mergeCell ref="B37:J38"/>
    <mergeCell ref="B39:J43"/>
    <mergeCell ref="B45:J45"/>
  </mergeCells>
  <phoneticPr fontId="1" type="noConversion"/>
  <pageMargins left="0.74803149606299213" right="0.74803149606299213" top="2.0742519685039369" bottom="0.98425196850393704" header="0" footer="0"/>
  <pageSetup paperSize="9" scale="90" fitToWidth="0" orientation="portrait" r:id="rId1"/>
  <headerFooter alignWithMargins="0">
    <oddFooter>&amp;LGCRD</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66</vt:i4>
      </vt:variant>
    </vt:vector>
  </HeadingPairs>
  <TitlesOfParts>
    <vt:vector size="68" baseType="lpstr">
      <vt:lpstr>Registro</vt:lpstr>
      <vt:lpstr>Resultados</vt:lpstr>
      <vt:lpstr>Agente</vt:lpstr>
      <vt:lpstr>Alentador</vt:lpstr>
      <vt:lpstr>Resultados!Área_de_impresión</vt:lpstr>
      <vt:lpstr>Consejero</vt:lpstr>
      <vt:lpstr>Creativo</vt:lpstr>
      <vt:lpstr>Especialista</vt:lpstr>
      <vt:lpstr>Evaluador</vt:lpstr>
      <vt:lpstr>InformePatron</vt:lpstr>
      <vt:lpstr>Investigador</vt:lpstr>
      <vt:lpstr>Objetivo</vt:lpstr>
      <vt:lpstr>Perfeccionista</vt:lpstr>
      <vt:lpstr>Persuasivo</vt:lpstr>
      <vt:lpstr>Profesional</vt:lpstr>
      <vt:lpstr>Promotor</vt:lpstr>
      <vt:lpstr>Realizador</vt:lpstr>
      <vt:lpstr>Resolutivo</vt:lpstr>
      <vt:lpstr>ResultadoPatron</vt:lpstr>
      <vt:lpstr>Resultados</vt:lpstr>
      <vt:lpstr>rmasg1</vt:lpstr>
      <vt:lpstr>rmasg10</vt:lpstr>
      <vt:lpstr>rmasg11</vt:lpstr>
      <vt:lpstr>rmasg12</vt:lpstr>
      <vt:lpstr>rmasg13</vt:lpstr>
      <vt:lpstr>rmasg14</vt:lpstr>
      <vt:lpstr>rmasg15</vt:lpstr>
      <vt:lpstr>rmasg16</vt:lpstr>
      <vt:lpstr>rmasg17</vt:lpstr>
      <vt:lpstr>rmasg18</vt:lpstr>
      <vt:lpstr>rmasg19</vt:lpstr>
      <vt:lpstr>rmasg2</vt:lpstr>
      <vt:lpstr>rmasg20</vt:lpstr>
      <vt:lpstr>rmasg21</vt:lpstr>
      <vt:lpstr>rmasg22</vt:lpstr>
      <vt:lpstr>rmasg23</vt:lpstr>
      <vt:lpstr>rmasg24</vt:lpstr>
      <vt:lpstr>rmasg3</vt:lpstr>
      <vt:lpstr>rmasg4</vt:lpstr>
      <vt:lpstr>rmasg5</vt:lpstr>
      <vt:lpstr>rmasg6</vt:lpstr>
      <vt:lpstr>rmasg7</vt:lpstr>
      <vt:lpstr>rmasg8</vt:lpstr>
      <vt:lpstr>rmasg9</vt:lpstr>
      <vt:lpstr>rmenosg1</vt:lpstr>
      <vt:lpstr>rmenosg10</vt:lpstr>
      <vt:lpstr>rmenosg11</vt:lpstr>
      <vt:lpstr>rmenosg12</vt:lpstr>
      <vt:lpstr>rmenosg13</vt:lpstr>
      <vt:lpstr>rmenosg14</vt:lpstr>
      <vt:lpstr>rmenosg15</vt:lpstr>
      <vt:lpstr>rmenosg16</vt:lpstr>
      <vt:lpstr>rmenosg17</vt:lpstr>
      <vt:lpstr>rmenosg18</vt:lpstr>
      <vt:lpstr>rmenosg19</vt:lpstr>
      <vt:lpstr>rmenosg2</vt:lpstr>
      <vt:lpstr>rmenosg20</vt:lpstr>
      <vt:lpstr>rmenosg21</vt:lpstr>
      <vt:lpstr>rmenosg22</vt:lpstr>
      <vt:lpstr>rmenosg23</vt:lpstr>
      <vt:lpstr>rmenosg24</vt:lpstr>
      <vt:lpstr>rmenosg3</vt:lpstr>
      <vt:lpstr>rmenosg4</vt:lpstr>
      <vt:lpstr>rmenosg5</vt:lpstr>
      <vt:lpstr>rmenosg6</vt:lpstr>
      <vt:lpstr>rmenosg7</vt:lpstr>
      <vt:lpstr>rmenosg8</vt:lpstr>
      <vt:lpstr>rmenosg9</vt:lpstr>
    </vt:vector>
  </TitlesOfParts>
  <Company>TALLER DIDEA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gjcontreras</dc:creator>
  <cp:lastModifiedBy>Bryan Danilo Rauda Márquez</cp:lastModifiedBy>
  <cp:lastPrinted>2020-02-29T17:01:47Z</cp:lastPrinted>
  <dcterms:created xsi:type="dcterms:W3CDTF">2010-03-24T21:01:18Z</dcterms:created>
  <dcterms:modified xsi:type="dcterms:W3CDTF">2022-11-14T21:20:42Z</dcterms:modified>
</cp:coreProperties>
</file>